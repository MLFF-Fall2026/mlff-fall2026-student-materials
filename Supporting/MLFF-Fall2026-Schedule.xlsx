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da3\Documents\Repos\MLFF-Fall2026-Instructor\Supporting\"/>
    </mc:Choice>
  </mc:AlternateContent>
  <xr:revisionPtr revIDLastSave="0" documentId="13_ncr:1_{F03496B6-09A4-4F4D-8E56-359C82F9823E}" xr6:coauthVersionLast="47" xr6:coauthVersionMax="47" xr10:uidLastSave="{00000000-0000-0000-0000-000000000000}"/>
  <bookViews>
    <workbookView xWindow="-90" yWindow="-90" windowWidth="19380" windowHeight="11460" xr2:uid="{8B2B375C-FEC5-4CC2-A6BE-217CFCB1D788}"/>
  </bookViews>
  <sheets>
    <sheet name="CourseCalendar (4)" sheetId="10" r:id="rId1"/>
    <sheet name="CourseCalendar (3)" sheetId="9" r:id="rId2"/>
    <sheet name="CourseCalendar (2)" sheetId="8" r:id="rId3"/>
    <sheet name="CourseCalendar" sheetId="7" r:id="rId4"/>
    <sheet name="LessonPlanSchedule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2" i="10" l="1"/>
  <c r="C31" i="10"/>
  <c r="C30" i="10"/>
  <c r="C29" i="10"/>
  <c r="C28" i="10"/>
  <c r="C27" i="10"/>
  <c r="C26" i="10"/>
  <c r="N25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C4" i="10"/>
  <c r="C3" i="10"/>
  <c r="C2" i="10"/>
  <c r="C47" i="3"/>
  <c r="A48" i="3" s="1"/>
  <c r="C48" i="3" s="1"/>
  <c r="A49" i="3" s="1"/>
  <c r="C49" i="3" s="1"/>
  <c r="A50" i="3" s="1"/>
  <c r="C50" i="3" s="1"/>
  <c r="A51" i="3" s="1"/>
  <c r="C51" i="3" s="1"/>
  <c r="A52" i="3" s="1"/>
  <c r="C52" i="3" s="1"/>
  <c r="C58" i="3"/>
  <c r="A59" i="3" s="1"/>
  <c r="C59" i="3" s="1"/>
  <c r="A60" i="3" s="1"/>
  <c r="C60" i="3" s="1"/>
  <c r="A61" i="3" s="1"/>
  <c r="C61" i="3" s="1"/>
  <c r="A62" i="3" s="1"/>
  <c r="C62" i="3" s="1"/>
  <c r="A63" i="3" s="1"/>
  <c r="C63" i="3" s="1"/>
  <c r="A64" i="3" s="1"/>
  <c r="C64" i="3" s="1"/>
  <c r="A65" i="3" s="1"/>
  <c r="C65" i="3" s="1"/>
  <c r="A66" i="3" s="1"/>
  <c r="C66" i="3" s="1"/>
  <c r="A67" i="3" s="1"/>
  <c r="C67" i="3" s="1"/>
  <c r="Q19" i="3"/>
  <c r="S19" i="3" s="1"/>
  <c r="Q20" i="3" s="1"/>
  <c r="S20" i="3" s="1"/>
  <c r="Q21" i="3" s="1"/>
  <c r="S21" i="3" s="1"/>
  <c r="Q22" i="3" s="1"/>
  <c r="S22" i="3" s="1"/>
  <c r="Q23" i="3" s="1"/>
  <c r="S23" i="3" s="1"/>
  <c r="Q24" i="3" s="1"/>
  <c r="S24" i="3" s="1"/>
  <c r="Q25" i="3" s="1"/>
  <c r="S25" i="3" s="1"/>
  <c r="Q26" i="3" s="1"/>
  <c r="S26" i="3" s="1"/>
  <c r="C32" i="9"/>
  <c r="C31" i="9"/>
  <c r="C30" i="9"/>
  <c r="C29" i="9"/>
  <c r="C28" i="9"/>
  <c r="C27" i="9"/>
  <c r="C26" i="9"/>
  <c r="N25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C5" i="9"/>
  <c r="C4" i="9"/>
  <c r="C3" i="9"/>
  <c r="C2" i="9"/>
  <c r="C37" i="3"/>
  <c r="E37" i="3" s="1"/>
  <c r="B37" i="3"/>
  <c r="B38" i="3" s="1"/>
  <c r="B39" i="3" s="1"/>
  <c r="B40" i="3" s="1"/>
  <c r="B41" i="3" s="1"/>
  <c r="B42" i="3" s="1"/>
  <c r="C32" i="8"/>
  <c r="C31" i="8"/>
  <c r="C30" i="8"/>
  <c r="C29" i="8"/>
  <c r="C28" i="8"/>
  <c r="C27" i="8"/>
  <c r="C26" i="8"/>
  <c r="N25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C4" i="8"/>
  <c r="C3" i="8"/>
  <c r="C2" i="8"/>
  <c r="C12" i="3"/>
  <c r="C19" i="3" s="1"/>
  <c r="E4" i="3"/>
  <c r="C5" i="3" s="1"/>
  <c r="E5" i="3" s="1"/>
  <c r="C6" i="3" s="1"/>
  <c r="E6" i="3" s="1"/>
  <c r="C7" i="3" s="1"/>
  <c r="E7" i="3" s="1"/>
  <c r="C8" i="3" s="1"/>
  <c r="E8" i="3" s="1"/>
  <c r="C9" i="3" s="1"/>
  <c r="E9" i="3" s="1"/>
  <c r="C32" i="7"/>
  <c r="C31" i="7"/>
  <c r="C30" i="7"/>
  <c r="C29" i="7"/>
  <c r="C28" i="7"/>
  <c r="C27" i="7"/>
  <c r="C26" i="7"/>
  <c r="N25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3" i="7"/>
  <c r="C2" i="7"/>
  <c r="C38" i="3" l="1"/>
  <c r="E38" i="3" s="1"/>
  <c r="C39" i="3" s="1"/>
  <c r="E12" i="3"/>
  <c r="C13" i="3" s="1"/>
  <c r="E13" i="3" s="1"/>
  <c r="C14" i="3" s="1"/>
  <c r="E14" i="3" s="1"/>
  <c r="C15" i="3" s="1"/>
  <c r="E15" i="3" s="1"/>
  <c r="C16" i="3" s="1"/>
  <c r="E16" i="3" s="1"/>
  <c r="C17" i="3" s="1"/>
  <c r="E17" i="3" s="1"/>
  <c r="C29" i="3"/>
  <c r="E29" i="3" s="1"/>
  <c r="C30" i="3" s="1"/>
  <c r="E30" i="3" s="1"/>
  <c r="C31" i="3" s="1"/>
  <c r="E31" i="3" s="1"/>
  <c r="C32" i="3" s="1"/>
  <c r="E32" i="3" s="1"/>
  <c r="C33" i="3" s="1"/>
  <c r="E33" i="3" s="1"/>
  <c r="E19" i="3"/>
  <c r="C20" i="3" s="1"/>
  <c r="E20" i="3" s="1"/>
  <c r="C21" i="3" s="1"/>
  <c r="E21" i="3" s="1"/>
  <c r="C22" i="3" s="1"/>
  <c r="E22" i="3" s="1"/>
  <c r="C23" i="3" s="1"/>
  <c r="E23" i="3" s="1"/>
  <c r="C24" i="3" s="1"/>
  <c r="E24" i="3" s="1"/>
  <c r="C25" i="3" s="1"/>
  <c r="E25" i="3" s="1"/>
  <c r="E39" i="3" l="1"/>
  <c r="C40" i="3" s="1"/>
  <c r="E40" i="3" l="1"/>
  <c r="C41" i="3" s="1"/>
  <c r="E41" i="3" l="1"/>
  <c r="C42" i="3" s="1"/>
  <c r="E42" i="3" l="1"/>
</calcChain>
</file>

<file path=xl/sharedStrings.xml><?xml version="1.0" encoding="utf-8"?>
<sst xmlns="http://schemas.openxmlformats.org/spreadsheetml/2006/main" count="359" uniqueCount="110">
  <si>
    <t>Day #</t>
  </si>
  <si>
    <t>Date</t>
  </si>
  <si>
    <t>Topic</t>
  </si>
  <si>
    <t>Day</t>
  </si>
  <si>
    <t xml:space="preserve">Holiday </t>
  </si>
  <si>
    <t>Assignments</t>
  </si>
  <si>
    <t>Topics</t>
  </si>
  <si>
    <t>Pitchbook</t>
  </si>
  <si>
    <t>FF Round 1</t>
  </si>
  <si>
    <t>FF Round 2</t>
  </si>
  <si>
    <t xml:space="preserve">Institutional Round </t>
  </si>
  <si>
    <t>Due Diligence materials</t>
  </si>
  <si>
    <t xml:space="preserve">Participation </t>
  </si>
  <si>
    <t xml:space="preserve">Internal Fund Update </t>
  </si>
  <si>
    <t>Systematic Investment Architecture - Signals</t>
  </si>
  <si>
    <t>Systematic Investment Architecture - Strategy, Portfolio</t>
  </si>
  <si>
    <t>Computing set up, tour of trade submission code</t>
  </si>
  <si>
    <t>Data acquisition, cleaning, EDA</t>
  </si>
  <si>
    <t>Momentum Signal</t>
  </si>
  <si>
    <t xml:space="preserve">Momentum Strategy, Portfolio </t>
  </si>
  <si>
    <t>Clustering</t>
  </si>
  <si>
    <t xml:space="preserve">Dimension Reduction </t>
  </si>
  <si>
    <t>Generative</t>
  </si>
  <si>
    <t xml:space="preserve">Classification </t>
  </si>
  <si>
    <t xml:space="preserve">Regression </t>
  </si>
  <si>
    <t>Time Series</t>
  </si>
  <si>
    <t xml:space="preserve">Working Session </t>
  </si>
  <si>
    <t>FF Round 3</t>
  </si>
  <si>
    <t>FF Round 4</t>
  </si>
  <si>
    <t>Advanced Clustering</t>
  </si>
  <si>
    <t xml:space="preserve">Advanced Dimension Reduction </t>
  </si>
  <si>
    <t xml:space="preserve">Advanced Classification </t>
  </si>
  <si>
    <t xml:space="preserve">Advanced Regression </t>
  </si>
  <si>
    <t>Advanced Time Series</t>
  </si>
  <si>
    <t>Roadshow materials</t>
  </si>
  <si>
    <t>Roadshow 1 Materials</t>
  </si>
  <si>
    <t>Roadshow 2 Materials</t>
  </si>
  <si>
    <t>Roadshow 3 Materials</t>
  </si>
  <si>
    <t>Roadshow 4 Materials</t>
  </si>
  <si>
    <t>Roadshow 5 Materials</t>
  </si>
  <si>
    <t>Slides</t>
  </si>
  <si>
    <t xml:space="preserve">Roadshsow (slides, Q&amp;A, etc..) </t>
  </si>
  <si>
    <t xml:space="preserve">4 teams </t>
  </si>
  <si>
    <t xml:space="preserve">15mts each.  </t>
  </si>
  <si>
    <t xml:space="preserve">They submit the presentation. </t>
  </si>
  <si>
    <t>I also grade Q&amp;A</t>
  </si>
  <si>
    <t xml:space="preserve">trade discretionary at first? Tilt? </t>
  </si>
  <si>
    <t xml:space="preserve">Intro; universe EDA; hedfe fund team structure. </t>
  </si>
  <si>
    <t>21Sep - trading starts</t>
  </si>
  <si>
    <t>2Dec close</t>
  </si>
  <si>
    <t xml:space="preserve">Start </t>
  </si>
  <si>
    <t>Duration</t>
  </si>
  <si>
    <t>End</t>
  </si>
  <si>
    <t xml:space="preserve">Welcome; Anyone not registered? </t>
  </si>
  <si>
    <t xml:space="preserve">Exercise: market outlook; Vague; need universe.  Need horizon. Need objective. Let's clarify.  Now go back.  </t>
  </si>
  <si>
    <t>Review Syllabus</t>
  </si>
  <si>
    <t>Exercise Description</t>
  </si>
  <si>
    <t>Team Org; Discretionary vs Systematic</t>
  </si>
  <si>
    <t>Form Teams; Sign up on Canvas</t>
  </si>
  <si>
    <t>Exercise: How get invstors to trust your performance? i) process, ii) pedigree, iii) paper trading</t>
  </si>
  <si>
    <t xml:space="preserve">Exercise: log or simple returns for performance measurement.  Show excel? </t>
  </si>
  <si>
    <t>Performance measurement code</t>
  </si>
  <si>
    <t>Interpret performance metrics</t>
  </si>
  <si>
    <t xml:space="preserve">(Optional) R and Git set up </t>
  </si>
  <si>
    <t xml:space="preserve">Signal vs Strategy vs Portfolio? </t>
  </si>
  <si>
    <t xml:space="preserve">Do this on code or slides? </t>
  </si>
  <si>
    <t>PM -- allocation across strategies</t>
  </si>
  <si>
    <t>Data Engineer</t>
  </si>
  <si>
    <t xml:space="preserve">Systems architect </t>
  </si>
  <si>
    <t xml:space="preserve">Risk </t>
  </si>
  <si>
    <t xml:space="preserve">Exercise: How measure your fund's performance? </t>
  </si>
  <si>
    <t>Interpreting the Demo LeaderBoard</t>
  </si>
  <si>
    <t>Exploring Demo Leaderboard Code</t>
  </si>
  <si>
    <t>Discrete vs Log Returns</t>
  </si>
  <si>
    <t>Define Signals, A.  Then do B, C, D ,E ,F as exercise</t>
  </si>
  <si>
    <t>Sampling, test/train</t>
  </si>
  <si>
    <t>Single Test Train through IC</t>
  </si>
  <si>
    <t>Confusion exercise for long / short</t>
  </si>
  <si>
    <t>Hit Rate</t>
  </si>
  <si>
    <t>Multiple Hold out</t>
  </si>
  <si>
    <t xml:space="preserve">Code - Single Hold Out Demo </t>
  </si>
  <si>
    <t>Systematic Investment Architecture - Dynamic Signal,  Strategy, Portfolio</t>
  </si>
  <si>
    <t>Full Universe EDA: Data acquisition, cleaning, EDA</t>
  </si>
  <si>
    <t>Admin; Discussion of markets</t>
  </si>
  <si>
    <t xml:space="preserve">Exercise: Investable universe Code </t>
  </si>
  <si>
    <t xml:space="preserve">Systematic Investment Architecture - Dynamic Signal,  Strategy, Portfolio; Momentum </t>
  </si>
  <si>
    <t xml:space="preserve">is the momentum strategy a full day? </t>
  </si>
  <si>
    <t xml:space="preserve">Momentum signal theory and code and then portfolio theory a fill day? </t>
  </si>
  <si>
    <t>Clean and Engineer</t>
  </si>
  <si>
    <t xml:space="preserve">Momentum code and discussion </t>
  </si>
  <si>
    <t>Test Train</t>
  </si>
  <si>
    <t>EDA</t>
  </si>
  <si>
    <t xml:space="preserve">Construct Signal </t>
  </si>
  <si>
    <t>Eval: Single Hold Out</t>
  </si>
  <si>
    <t>Eval: Multi Hold Out</t>
  </si>
  <si>
    <t xml:space="preserve">Start Momentum Signal; Data Acquisition </t>
  </si>
  <si>
    <t>MLFF | 8:30am-9:45am | Social Science 105</t>
  </si>
  <si>
    <t>Code - Single Hold Out Demo - debrief</t>
  </si>
  <si>
    <t>Evaluation: Single Hold Out: Ask what and how use DiM, IC, Confusion Matrix, Hit Rate</t>
  </si>
  <si>
    <t>Exercise: Investable universe EDA</t>
  </si>
  <si>
    <t>MLFF | 8:30am-9:45am | Social Science 107</t>
  </si>
  <si>
    <t>10Sep2026 | Class # 6| Stategies</t>
  </si>
  <si>
    <t>Start</t>
  </si>
  <si>
    <t xml:space="preserve">Duration </t>
  </si>
  <si>
    <t>Admin</t>
  </si>
  <si>
    <t>Slides for Strategies</t>
  </si>
  <si>
    <t>Slides for Portfolios</t>
  </si>
  <si>
    <t xml:space="preserve">Momentum Strategy </t>
  </si>
  <si>
    <t>8Sep2026 | Class # 5| Momentum Signals</t>
  </si>
  <si>
    <t xml:space="preserve">Regression --- Fama Macbeth?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</si>
</sst>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4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5" fontId="0" fillId="0" borderId="0" xfId="0" applyNumberFormat="1"/>
    <xf numFmtId="18" fontId="0" fillId="0" borderId="0" xfId="0" applyNumberFormat="1"/>
    <xf numFmtId="0" fontId="1" fillId="0" borderId="0" xfId="0" applyFont="1"/>
    <xf numFmtId="18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80EA2-95A7-4EE7-A9EF-9AE1E966E510}">
  <dimension ref="A1:P32"/>
  <sheetViews>
    <sheetView tabSelected="1" workbookViewId="0">
      <selection activeCell="F15" sqref="F15"/>
    </sheetView>
  </sheetViews>
  <sheetFormatPr defaultRowHeight="14.75" x14ac:dyDescent="0.75"/>
  <cols>
    <col min="2" max="2" width="9.86328125" bestFit="1" customWidth="1"/>
    <col min="3" max="3" width="11.1328125" bestFit="1" customWidth="1"/>
    <col min="4" max="4" width="49.7265625" bestFit="1" customWidth="1"/>
    <col min="5" max="5" width="19.54296875" bestFit="1" customWidth="1"/>
    <col min="6" max="7" width="19.54296875" customWidth="1"/>
    <col min="9" max="9" width="22.26953125" bestFit="1" customWidth="1"/>
    <col min="13" max="13" width="29" bestFit="1" customWidth="1"/>
  </cols>
  <sheetData>
    <row r="1" spans="1:16" x14ac:dyDescent="0.75">
      <c r="A1" t="s">
        <v>0</v>
      </c>
      <c r="B1" t="s">
        <v>1</v>
      </c>
      <c r="C1" t="s">
        <v>3</v>
      </c>
      <c r="D1" t="s">
        <v>2</v>
      </c>
      <c r="E1" t="s">
        <v>5</v>
      </c>
    </row>
    <row r="2" spans="1:16" x14ac:dyDescent="0.75">
      <c r="A2">
        <v>1</v>
      </c>
      <c r="B2" s="1">
        <v>46259</v>
      </c>
      <c r="C2" s="1" t="str">
        <f>TEXT(B2,"dddd")</f>
        <v>Tuesday</v>
      </c>
      <c r="D2" t="s">
        <v>47</v>
      </c>
      <c r="I2" t="s">
        <v>6</v>
      </c>
    </row>
    <row r="3" spans="1:16" x14ac:dyDescent="0.75">
      <c r="A3">
        <v>2</v>
      </c>
      <c r="B3" s="1">
        <v>46261</v>
      </c>
      <c r="C3" s="1" t="str">
        <f t="shared" ref="C3:C31" si="0">TEXT(B3,"dddd")</f>
        <v>Thursday</v>
      </c>
      <c r="D3" t="s">
        <v>16</v>
      </c>
    </row>
    <row r="4" spans="1:16" x14ac:dyDescent="0.75">
      <c r="A4">
        <v>3</v>
      </c>
      <c r="B4" s="1">
        <v>46266</v>
      </c>
      <c r="C4" s="1" t="str">
        <f t="shared" si="0"/>
        <v>Tuesday</v>
      </c>
      <c r="D4" t="s">
        <v>14</v>
      </c>
    </row>
    <row r="5" spans="1:16" x14ac:dyDescent="0.75">
      <c r="A5">
        <v>4</v>
      </c>
      <c r="B5" s="1">
        <v>46268</v>
      </c>
      <c r="C5" s="1" t="str">
        <f t="shared" si="0"/>
        <v>Thursday</v>
      </c>
      <c r="D5" t="s">
        <v>82</v>
      </c>
    </row>
    <row r="6" spans="1:16" x14ac:dyDescent="0.75">
      <c r="A6">
        <v>5</v>
      </c>
      <c r="B6" s="1">
        <v>46273</v>
      </c>
      <c r="C6" s="1" t="str">
        <f t="shared" si="0"/>
        <v>Tuesday</v>
      </c>
      <c r="D6" t="s">
        <v>18</v>
      </c>
      <c r="O6" t="s">
        <v>42</v>
      </c>
      <c r="P6" t="s">
        <v>43</v>
      </c>
    </row>
    <row r="7" spans="1:16" x14ac:dyDescent="0.75">
      <c r="A7">
        <v>6</v>
      </c>
      <c r="B7" s="1">
        <v>46275</v>
      </c>
      <c r="C7" s="1" t="str">
        <f t="shared" si="0"/>
        <v>Thursday</v>
      </c>
      <c r="D7" t="s">
        <v>85</v>
      </c>
      <c r="P7" t="s">
        <v>44</v>
      </c>
    </row>
    <row r="8" spans="1:16" x14ac:dyDescent="0.75">
      <c r="A8">
        <v>7</v>
      </c>
      <c r="B8" s="1">
        <v>46280</v>
      </c>
      <c r="C8" s="1" t="str">
        <f t="shared" si="0"/>
        <v>Tuesday</v>
      </c>
      <c r="D8" t="s">
        <v>20</v>
      </c>
      <c r="P8" t="s">
        <v>45</v>
      </c>
    </row>
    <row r="9" spans="1:16" x14ac:dyDescent="0.75">
      <c r="A9">
        <v>8</v>
      </c>
      <c r="B9" s="1">
        <v>46282</v>
      </c>
      <c r="C9" s="1" t="str">
        <f t="shared" si="0"/>
        <v>Thursday</v>
      </c>
      <c r="D9" t="s">
        <v>21</v>
      </c>
    </row>
    <row r="10" spans="1:16" x14ac:dyDescent="0.75">
      <c r="A10">
        <v>9</v>
      </c>
      <c r="B10" s="1">
        <v>46287</v>
      </c>
      <c r="C10" s="1" t="str">
        <f t="shared" si="0"/>
        <v>Tuesday</v>
      </c>
      <c r="D10" t="s">
        <v>23</v>
      </c>
      <c r="F10" t="s">
        <v>48</v>
      </c>
      <c r="G10" t="s">
        <v>46</v>
      </c>
    </row>
    <row r="11" spans="1:16" x14ac:dyDescent="0.75">
      <c r="A11">
        <v>10</v>
      </c>
      <c r="B11" s="1">
        <v>46289</v>
      </c>
      <c r="C11" s="1" t="str">
        <f t="shared" si="0"/>
        <v>Thursday</v>
      </c>
      <c r="D11" t="s">
        <v>24</v>
      </c>
      <c r="K11" t="s">
        <v>109</v>
      </c>
    </row>
    <row r="12" spans="1:16" x14ac:dyDescent="0.75">
      <c r="A12">
        <v>11</v>
      </c>
      <c r="B12" s="1">
        <v>46294</v>
      </c>
      <c r="C12" s="1" t="str">
        <f t="shared" si="0"/>
        <v>Tuesday</v>
      </c>
      <c r="D12" t="s">
        <v>25</v>
      </c>
    </row>
    <row r="13" spans="1:16" x14ac:dyDescent="0.75">
      <c r="A13">
        <v>12</v>
      </c>
      <c r="B13" s="1">
        <v>46296</v>
      </c>
      <c r="C13" s="1" t="str">
        <f t="shared" si="0"/>
        <v>Thursday</v>
      </c>
      <c r="D13" t="s">
        <v>26</v>
      </c>
    </row>
    <row r="14" spans="1:16" x14ac:dyDescent="0.75">
      <c r="A14">
        <v>13</v>
      </c>
      <c r="B14" s="1">
        <v>46301</v>
      </c>
      <c r="C14" s="1" t="str">
        <f t="shared" si="0"/>
        <v>Tuesday</v>
      </c>
      <c r="D14" t="s">
        <v>26</v>
      </c>
    </row>
    <row r="15" spans="1:16" x14ac:dyDescent="0.75">
      <c r="A15">
        <v>14</v>
      </c>
      <c r="B15" s="1">
        <v>46303</v>
      </c>
      <c r="C15" s="1" t="str">
        <f t="shared" si="0"/>
        <v>Thursday</v>
      </c>
      <c r="D15" t="s">
        <v>8</v>
      </c>
      <c r="E15" t="s">
        <v>34</v>
      </c>
    </row>
    <row r="16" spans="1:16" x14ac:dyDescent="0.75">
      <c r="A16">
        <v>15</v>
      </c>
      <c r="B16" s="1">
        <v>46308</v>
      </c>
      <c r="C16" s="1" t="str">
        <f t="shared" si="0"/>
        <v>Tuesday</v>
      </c>
      <c r="D16" t="s">
        <v>4</v>
      </c>
    </row>
    <row r="17" spans="1:15" x14ac:dyDescent="0.75">
      <c r="A17">
        <v>16</v>
      </c>
      <c r="B17" s="1">
        <v>46310</v>
      </c>
      <c r="C17" s="1" t="str">
        <f t="shared" si="0"/>
        <v>Thursday</v>
      </c>
      <c r="D17" t="s">
        <v>22</v>
      </c>
    </row>
    <row r="18" spans="1:15" x14ac:dyDescent="0.75">
      <c r="A18">
        <v>17</v>
      </c>
      <c r="B18" s="1">
        <v>46315</v>
      </c>
      <c r="C18" s="1" t="str">
        <f t="shared" si="0"/>
        <v>Tuesday</v>
      </c>
      <c r="D18" t="s">
        <v>26</v>
      </c>
    </row>
    <row r="19" spans="1:15" x14ac:dyDescent="0.75">
      <c r="A19">
        <v>18</v>
      </c>
      <c r="B19" s="1">
        <v>46317</v>
      </c>
      <c r="C19" s="1" t="str">
        <f t="shared" si="0"/>
        <v>Thursday</v>
      </c>
      <c r="D19" t="s">
        <v>9</v>
      </c>
      <c r="E19" t="s">
        <v>34</v>
      </c>
      <c r="I19" t="s">
        <v>5</v>
      </c>
      <c r="L19" t="s">
        <v>40</v>
      </c>
      <c r="M19" t="s">
        <v>35</v>
      </c>
    </row>
    <row r="20" spans="1:15" x14ac:dyDescent="0.75">
      <c r="A20">
        <v>19</v>
      </c>
      <c r="B20" s="1">
        <v>46322</v>
      </c>
      <c r="C20" s="1" t="str">
        <f t="shared" si="0"/>
        <v>Tuesday</v>
      </c>
      <c r="D20" t="s">
        <v>29</v>
      </c>
      <c r="I20" t="s">
        <v>7</v>
      </c>
      <c r="M20" t="s">
        <v>36</v>
      </c>
    </row>
    <row r="21" spans="1:15" x14ac:dyDescent="0.75">
      <c r="A21">
        <v>20</v>
      </c>
      <c r="B21" s="1">
        <v>46324</v>
      </c>
      <c r="C21" s="1" t="str">
        <f t="shared" si="0"/>
        <v>Thursday</v>
      </c>
      <c r="D21" t="s">
        <v>30</v>
      </c>
      <c r="I21" t="s">
        <v>8</v>
      </c>
      <c r="M21" t="s">
        <v>37</v>
      </c>
    </row>
    <row r="22" spans="1:15" x14ac:dyDescent="0.75">
      <c r="A22">
        <v>21</v>
      </c>
      <c r="B22" s="1">
        <v>46329</v>
      </c>
      <c r="C22" s="1" t="str">
        <f t="shared" si="0"/>
        <v>Tuesday</v>
      </c>
      <c r="D22" t="s">
        <v>26</v>
      </c>
      <c r="I22" t="s">
        <v>9</v>
      </c>
      <c r="M22" t="s">
        <v>38</v>
      </c>
    </row>
    <row r="23" spans="1:15" x14ac:dyDescent="0.75">
      <c r="A23">
        <v>22</v>
      </c>
      <c r="B23" s="1">
        <v>46331</v>
      </c>
      <c r="C23" s="1" t="str">
        <f t="shared" si="0"/>
        <v>Thursday</v>
      </c>
      <c r="D23" t="s">
        <v>27</v>
      </c>
      <c r="E23" t="s">
        <v>34</v>
      </c>
      <c r="I23" t="s">
        <v>10</v>
      </c>
      <c r="M23" t="s">
        <v>39</v>
      </c>
    </row>
    <row r="24" spans="1:15" x14ac:dyDescent="0.75">
      <c r="A24">
        <v>23</v>
      </c>
      <c r="B24" s="1">
        <v>46336</v>
      </c>
      <c r="C24" s="1" t="str">
        <f t="shared" si="0"/>
        <v>Tuesday</v>
      </c>
      <c r="D24" t="s">
        <v>31</v>
      </c>
      <c r="I24" t="s">
        <v>11</v>
      </c>
      <c r="J24">
        <v>40</v>
      </c>
    </row>
    <row r="25" spans="1:15" x14ac:dyDescent="0.75">
      <c r="A25">
        <v>24</v>
      </c>
      <c r="B25" s="1">
        <v>46338</v>
      </c>
      <c r="C25" s="1" t="str">
        <f t="shared" si="0"/>
        <v>Thursday</v>
      </c>
      <c r="D25" t="s">
        <v>32</v>
      </c>
      <c r="I25" t="s">
        <v>12</v>
      </c>
      <c r="J25">
        <v>10</v>
      </c>
      <c r="N25">
        <f>SUM(N26:N35)</f>
        <v>100</v>
      </c>
    </row>
    <row r="26" spans="1:15" x14ac:dyDescent="0.75">
      <c r="A26">
        <v>25</v>
      </c>
      <c r="B26" s="1">
        <v>46343</v>
      </c>
      <c r="C26" s="1" t="str">
        <f t="shared" si="0"/>
        <v>Tuesday</v>
      </c>
      <c r="D26" t="s">
        <v>26</v>
      </c>
      <c r="I26" t="s">
        <v>13</v>
      </c>
      <c r="M26" t="s">
        <v>41</v>
      </c>
      <c r="N26">
        <v>10</v>
      </c>
      <c r="O26">
        <v>100</v>
      </c>
    </row>
    <row r="27" spans="1:15" x14ac:dyDescent="0.75">
      <c r="A27">
        <v>26</v>
      </c>
      <c r="B27" s="1">
        <v>46345</v>
      </c>
      <c r="C27" t="str">
        <f t="shared" si="0"/>
        <v>Thursday</v>
      </c>
      <c r="D27" t="s">
        <v>28</v>
      </c>
      <c r="E27" t="s">
        <v>34</v>
      </c>
      <c r="M27" t="s">
        <v>41</v>
      </c>
      <c r="N27">
        <v>10</v>
      </c>
      <c r="O27">
        <v>100</v>
      </c>
    </row>
    <row r="28" spans="1:15" x14ac:dyDescent="0.75">
      <c r="A28">
        <v>27</v>
      </c>
      <c r="B28" s="1">
        <v>46350</v>
      </c>
      <c r="C28" t="str">
        <f t="shared" si="0"/>
        <v>Tuesday</v>
      </c>
      <c r="D28" t="s">
        <v>33</v>
      </c>
      <c r="M28" t="s">
        <v>41</v>
      </c>
      <c r="N28">
        <v>10</v>
      </c>
      <c r="O28">
        <v>100</v>
      </c>
    </row>
    <row r="29" spans="1:15" x14ac:dyDescent="0.75">
      <c r="A29">
        <v>28</v>
      </c>
      <c r="B29" s="1">
        <v>46352</v>
      </c>
      <c r="C29" t="str">
        <f t="shared" si="0"/>
        <v>Thursday</v>
      </c>
      <c r="D29" t="s">
        <v>4</v>
      </c>
      <c r="M29" t="s">
        <v>41</v>
      </c>
      <c r="N29">
        <v>10</v>
      </c>
      <c r="O29">
        <v>100</v>
      </c>
    </row>
    <row r="30" spans="1:15" x14ac:dyDescent="0.75">
      <c r="A30">
        <v>29</v>
      </c>
      <c r="B30" s="1">
        <v>46357</v>
      </c>
      <c r="C30" t="str">
        <f t="shared" si="0"/>
        <v>Tuesday</v>
      </c>
      <c r="D30" t="s">
        <v>26</v>
      </c>
      <c r="M30" t="s">
        <v>41</v>
      </c>
      <c r="N30">
        <v>20</v>
      </c>
      <c r="O30">
        <v>200</v>
      </c>
    </row>
    <row r="31" spans="1:15" x14ac:dyDescent="0.75">
      <c r="A31">
        <v>30</v>
      </c>
      <c r="B31" s="1">
        <v>46359</v>
      </c>
      <c r="C31" t="str">
        <f t="shared" si="0"/>
        <v>Thursday</v>
      </c>
      <c r="D31" t="s">
        <v>10</v>
      </c>
      <c r="E31" t="s">
        <v>34</v>
      </c>
      <c r="F31" t="s">
        <v>49</v>
      </c>
      <c r="M31" t="s">
        <v>11</v>
      </c>
      <c r="N31">
        <v>30</v>
      </c>
    </row>
    <row r="32" spans="1:15" x14ac:dyDescent="0.75">
      <c r="B32" s="1">
        <v>46370</v>
      </c>
      <c r="C32" t="str">
        <f>TEXT(B32,"dddd")</f>
        <v>Monday</v>
      </c>
      <c r="E32" t="s">
        <v>11</v>
      </c>
      <c r="M32" t="s">
        <v>12</v>
      </c>
      <c r="N32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F49B2-E2C6-4602-AD43-C510FEE40350}">
  <dimension ref="A1:P32"/>
  <sheetViews>
    <sheetView workbookViewId="0">
      <selection activeCell="D12" sqref="D12"/>
    </sheetView>
  </sheetViews>
  <sheetFormatPr defaultRowHeight="14.75" x14ac:dyDescent="0.75"/>
  <cols>
    <col min="2" max="2" width="9.86328125" bestFit="1" customWidth="1"/>
    <col min="3" max="3" width="11.1328125" bestFit="1" customWidth="1"/>
    <col min="4" max="4" width="49.7265625" bestFit="1" customWidth="1"/>
    <col min="5" max="5" width="19.54296875" bestFit="1" customWidth="1"/>
    <col min="6" max="7" width="19.54296875" customWidth="1"/>
    <col min="9" max="9" width="22.26953125" bestFit="1" customWidth="1"/>
    <col min="13" max="13" width="29" bestFit="1" customWidth="1"/>
  </cols>
  <sheetData>
    <row r="1" spans="1:16" x14ac:dyDescent="0.75">
      <c r="A1" t="s">
        <v>0</v>
      </c>
      <c r="B1" t="s">
        <v>1</v>
      </c>
      <c r="C1" t="s">
        <v>3</v>
      </c>
      <c r="D1" t="s">
        <v>2</v>
      </c>
      <c r="E1" t="s">
        <v>5</v>
      </c>
    </row>
    <row r="2" spans="1:16" x14ac:dyDescent="0.75">
      <c r="A2">
        <v>1</v>
      </c>
      <c r="B2" s="1">
        <v>46259</v>
      </c>
      <c r="C2" s="1" t="str">
        <f>TEXT(B2,"dddd")</f>
        <v>Tuesday</v>
      </c>
      <c r="D2" t="s">
        <v>47</v>
      </c>
      <c r="I2" t="s">
        <v>6</v>
      </c>
    </row>
    <row r="3" spans="1:16" x14ac:dyDescent="0.75">
      <c r="A3">
        <v>2</v>
      </c>
      <c r="B3" s="1">
        <v>46261</v>
      </c>
      <c r="C3" s="1" t="str">
        <f t="shared" ref="C3:C31" si="0">TEXT(B3,"dddd")</f>
        <v>Thursday</v>
      </c>
      <c r="D3" t="s">
        <v>16</v>
      </c>
    </row>
    <row r="4" spans="1:16" x14ac:dyDescent="0.75">
      <c r="A4">
        <v>3</v>
      </c>
      <c r="B4" s="1">
        <v>46266</v>
      </c>
      <c r="C4" s="1" t="str">
        <f t="shared" si="0"/>
        <v>Tuesday</v>
      </c>
      <c r="D4" t="s">
        <v>14</v>
      </c>
    </row>
    <row r="5" spans="1:16" x14ac:dyDescent="0.75">
      <c r="A5">
        <v>4</v>
      </c>
      <c r="B5" s="1">
        <v>46268</v>
      </c>
      <c r="C5" s="1" t="str">
        <f t="shared" si="0"/>
        <v>Thursday</v>
      </c>
      <c r="D5" t="s">
        <v>82</v>
      </c>
    </row>
    <row r="6" spans="1:16" x14ac:dyDescent="0.75">
      <c r="A6">
        <v>5</v>
      </c>
      <c r="B6" s="1">
        <v>46273</v>
      </c>
      <c r="C6" s="1" t="str">
        <f t="shared" si="0"/>
        <v>Tuesday</v>
      </c>
      <c r="D6" t="s">
        <v>18</v>
      </c>
      <c r="O6" t="s">
        <v>42</v>
      </c>
      <c r="P6" t="s">
        <v>43</v>
      </c>
    </row>
    <row r="7" spans="1:16" x14ac:dyDescent="0.75">
      <c r="A7">
        <v>6</v>
      </c>
      <c r="B7" s="1">
        <v>46275</v>
      </c>
      <c r="C7" s="1" t="str">
        <f t="shared" si="0"/>
        <v>Thursday</v>
      </c>
      <c r="D7" t="s">
        <v>85</v>
      </c>
      <c r="P7" t="s">
        <v>44</v>
      </c>
    </row>
    <row r="8" spans="1:16" x14ac:dyDescent="0.75">
      <c r="A8">
        <v>7</v>
      </c>
      <c r="B8" s="1">
        <v>46280</v>
      </c>
      <c r="C8" s="1" t="str">
        <f t="shared" si="0"/>
        <v>Tuesday</v>
      </c>
      <c r="D8" t="s">
        <v>20</v>
      </c>
      <c r="P8" t="s">
        <v>45</v>
      </c>
    </row>
    <row r="9" spans="1:16" x14ac:dyDescent="0.75">
      <c r="A9">
        <v>8</v>
      </c>
      <c r="B9" s="1">
        <v>46282</v>
      </c>
      <c r="C9" s="1" t="str">
        <f t="shared" si="0"/>
        <v>Thursday</v>
      </c>
      <c r="D9" t="s">
        <v>21</v>
      </c>
    </row>
    <row r="10" spans="1:16" x14ac:dyDescent="0.75">
      <c r="A10">
        <v>9</v>
      </c>
      <c r="B10" s="1">
        <v>46287</v>
      </c>
      <c r="C10" s="1" t="str">
        <f t="shared" si="0"/>
        <v>Tuesday</v>
      </c>
      <c r="D10" t="s">
        <v>22</v>
      </c>
      <c r="F10" t="s">
        <v>48</v>
      </c>
      <c r="G10" t="s">
        <v>46</v>
      </c>
    </row>
    <row r="11" spans="1:16" x14ac:dyDescent="0.75">
      <c r="A11">
        <v>10</v>
      </c>
      <c r="B11" s="1">
        <v>46289</v>
      </c>
      <c r="C11" s="1" t="str">
        <f t="shared" si="0"/>
        <v>Thursday</v>
      </c>
      <c r="D11" t="s">
        <v>23</v>
      </c>
      <c r="K11" t="s">
        <v>109</v>
      </c>
    </row>
    <row r="12" spans="1:16" x14ac:dyDescent="0.75">
      <c r="A12">
        <v>11</v>
      </c>
      <c r="B12" s="1">
        <v>46294</v>
      </c>
      <c r="C12" s="1" t="str">
        <f t="shared" si="0"/>
        <v>Tuesday</v>
      </c>
      <c r="D12" t="s">
        <v>24</v>
      </c>
    </row>
    <row r="13" spans="1:16" x14ac:dyDescent="0.75">
      <c r="A13">
        <v>12</v>
      </c>
      <c r="B13" s="1">
        <v>46296</v>
      </c>
      <c r="C13" s="1" t="str">
        <f t="shared" si="0"/>
        <v>Thursday</v>
      </c>
      <c r="D13" t="s">
        <v>26</v>
      </c>
    </row>
    <row r="14" spans="1:16" x14ac:dyDescent="0.75">
      <c r="A14">
        <v>13</v>
      </c>
      <c r="B14" s="1">
        <v>46301</v>
      </c>
      <c r="C14" s="1" t="str">
        <f t="shared" si="0"/>
        <v>Tuesday</v>
      </c>
      <c r="D14" t="s">
        <v>26</v>
      </c>
    </row>
    <row r="15" spans="1:16" x14ac:dyDescent="0.75">
      <c r="A15">
        <v>14</v>
      </c>
      <c r="B15" s="1">
        <v>46303</v>
      </c>
      <c r="C15" s="1" t="str">
        <f t="shared" si="0"/>
        <v>Thursday</v>
      </c>
      <c r="D15" t="s">
        <v>8</v>
      </c>
      <c r="E15" t="s">
        <v>34</v>
      </c>
    </row>
    <row r="16" spans="1:16" x14ac:dyDescent="0.75">
      <c r="A16">
        <v>15</v>
      </c>
      <c r="B16" s="1">
        <v>46308</v>
      </c>
      <c r="C16" s="1" t="str">
        <f t="shared" si="0"/>
        <v>Tuesday</v>
      </c>
      <c r="D16" t="s">
        <v>4</v>
      </c>
    </row>
    <row r="17" spans="1:15" x14ac:dyDescent="0.75">
      <c r="A17">
        <v>16</v>
      </c>
      <c r="B17" s="1">
        <v>46310</v>
      </c>
      <c r="C17" s="1" t="str">
        <f t="shared" si="0"/>
        <v>Thursday</v>
      </c>
      <c r="D17" t="s">
        <v>25</v>
      </c>
    </row>
    <row r="18" spans="1:15" x14ac:dyDescent="0.75">
      <c r="A18">
        <v>17</v>
      </c>
      <c r="B18" s="1">
        <v>46315</v>
      </c>
      <c r="C18" s="1" t="str">
        <f t="shared" si="0"/>
        <v>Tuesday</v>
      </c>
      <c r="D18" t="s">
        <v>26</v>
      </c>
    </row>
    <row r="19" spans="1:15" x14ac:dyDescent="0.75">
      <c r="A19">
        <v>18</v>
      </c>
      <c r="B19" s="1">
        <v>46317</v>
      </c>
      <c r="C19" s="1" t="str">
        <f t="shared" si="0"/>
        <v>Thursday</v>
      </c>
      <c r="D19" t="s">
        <v>9</v>
      </c>
      <c r="E19" t="s">
        <v>34</v>
      </c>
      <c r="I19" t="s">
        <v>5</v>
      </c>
      <c r="L19" t="s">
        <v>40</v>
      </c>
      <c r="M19" t="s">
        <v>35</v>
      </c>
    </row>
    <row r="20" spans="1:15" x14ac:dyDescent="0.75">
      <c r="A20">
        <v>19</v>
      </c>
      <c r="B20" s="1">
        <v>46322</v>
      </c>
      <c r="C20" s="1" t="str">
        <f t="shared" si="0"/>
        <v>Tuesday</v>
      </c>
      <c r="D20" t="s">
        <v>29</v>
      </c>
      <c r="I20" t="s">
        <v>7</v>
      </c>
      <c r="M20" t="s">
        <v>36</v>
      </c>
    </row>
    <row r="21" spans="1:15" x14ac:dyDescent="0.75">
      <c r="A21">
        <v>20</v>
      </c>
      <c r="B21" s="1">
        <v>46324</v>
      </c>
      <c r="C21" s="1" t="str">
        <f t="shared" si="0"/>
        <v>Thursday</v>
      </c>
      <c r="D21" t="s">
        <v>30</v>
      </c>
      <c r="I21" t="s">
        <v>8</v>
      </c>
      <c r="M21" t="s">
        <v>37</v>
      </c>
    </row>
    <row r="22" spans="1:15" x14ac:dyDescent="0.75">
      <c r="A22">
        <v>21</v>
      </c>
      <c r="B22" s="1">
        <v>46329</v>
      </c>
      <c r="C22" s="1" t="str">
        <f t="shared" si="0"/>
        <v>Tuesday</v>
      </c>
      <c r="D22" t="s">
        <v>26</v>
      </c>
      <c r="I22" t="s">
        <v>9</v>
      </c>
      <c r="M22" t="s">
        <v>38</v>
      </c>
    </row>
    <row r="23" spans="1:15" x14ac:dyDescent="0.75">
      <c r="A23">
        <v>22</v>
      </c>
      <c r="B23" s="1">
        <v>46331</v>
      </c>
      <c r="C23" s="1" t="str">
        <f t="shared" si="0"/>
        <v>Thursday</v>
      </c>
      <c r="D23" t="s">
        <v>27</v>
      </c>
      <c r="E23" t="s">
        <v>34</v>
      </c>
      <c r="I23" t="s">
        <v>10</v>
      </c>
      <c r="M23" t="s">
        <v>39</v>
      </c>
    </row>
    <row r="24" spans="1:15" x14ac:dyDescent="0.75">
      <c r="A24">
        <v>23</v>
      </c>
      <c r="B24" s="1">
        <v>46336</v>
      </c>
      <c r="C24" s="1" t="str">
        <f t="shared" si="0"/>
        <v>Tuesday</v>
      </c>
      <c r="D24" t="s">
        <v>31</v>
      </c>
      <c r="I24" t="s">
        <v>11</v>
      </c>
      <c r="J24">
        <v>40</v>
      </c>
    </row>
    <row r="25" spans="1:15" x14ac:dyDescent="0.75">
      <c r="A25">
        <v>24</v>
      </c>
      <c r="B25" s="1">
        <v>46338</v>
      </c>
      <c r="C25" s="1" t="str">
        <f t="shared" si="0"/>
        <v>Thursday</v>
      </c>
      <c r="D25" t="s">
        <v>32</v>
      </c>
      <c r="I25" t="s">
        <v>12</v>
      </c>
      <c r="J25">
        <v>10</v>
      </c>
      <c r="N25">
        <f>SUM(N26:N35)</f>
        <v>100</v>
      </c>
    </row>
    <row r="26" spans="1:15" x14ac:dyDescent="0.75">
      <c r="A26">
        <v>25</v>
      </c>
      <c r="B26" s="1">
        <v>46343</v>
      </c>
      <c r="C26" s="1" t="str">
        <f t="shared" si="0"/>
        <v>Tuesday</v>
      </c>
      <c r="D26" t="s">
        <v>26</v>
      </c>
      <c r="I26" t="s">
        <v>13</v>
      </c>
      <c r="M26" t="s">
        <v>41</v>
      </c>
      <c r="N26">
        <v>10</v>
      </c>
      <c r="O26">
        <v>100</v>
      </c>
    </row>
    <row r="27" spans="1:15" x14ac:dyDescent="0.75">
      <c r="A27">
        <v>26</v>
      </c>
      <c r="B27" s="1">
        <v>46345</v>
      </c>
      <c r="C27" t="str">
        <f t="shared" si="0"/>
        <v>Thursday</v>
      </c>
      <c r="D27" t="s">
        <v>28</v>
      </c>
      <c r="E27" t="s">
        <v>34</v>
      </c>
      <c r="M27" t="s">
        <v>41</v>
      </c>
      <c r="N27">
        <v>10</v>
      </c>
      <c r="O27">
        <v>100</v>
      </c>
    </row>
    <row r="28" spans="1:15" x14ac:dyDescent="0.75">
      <c r="A28">
        <v>27</v>
      </c>
      <c r="B28" s="1">
        <v>46350</v>
      </c>
      <c r="C28" t="str">
        <f t="shared" si="0"/>
        <v>Tuesday</v>
      </c>
      <c r="D28" t="s">
        <v>33</v>
      </c>
      <c r="M28" t="s">
        <v>41</v>
      </c>
      <c r="N28">
        <v>10</v>
      </c>
      <c r="O28">
        <v>100</v>
      </c>
    </row>
    <row r="29" spans="1:15" x14ac:dyDescent="0.75">
      <c r="A29">
        <v>28</v>
      </c>
      <c r="B29" s="1">
        <v>46352</v>
      </c>
      <c r="C29" t="str">
        <f t="shared" si="0"/>
        <v>Thursday</v>
      </c>
      <c r="D29" t="s">
        <v>4</v>
      </c>
      <c r="M29" t="s">
        <v>41</v>
      </c>
      <c r="N29">
        <v>10</v>
      </c>
      <c r="O29">
        <v>100</v>
      </c>
    </row>
    <row r="30" spans="1:15" x14ac:dyDescent="0.75">
      <c r="A30">
        <v>29</v>
      </c>
      <c r="B30" s="1">
        <v>46357</v>
      </c>
      <c r="C30" t="str">
        <f t="shared" si="0"/>
        <v>Tuesday</v>
      </c>
      <c r="D30" t="s">
        <v>26</v>
      </c>
      <c r="M30" t="s">
        <v>41</v>
      </c>
      <c r="N30">
        <v>20</v>
      </c>
      <c r="O30">
        <v>200</v>
      </c>
    </row>
    <row r="31" spans="1:15" x14ac:dyDescent="0.75">
      <c r="A31">
        <v>30</v>
      </c>
      <c r="B31" s="1">
        <v>46359</v>
      </c>
      <c r="C31" t="str">
        <f t="shared" si="0"/>
        <v>Thursday</v>
      </c>
      <c r="D31" t="s">
        <v>10</v>
      </c>
      <c r="E31" t="s">
        <v>34</v>
      </c>
      <c r="F31" t="s">
        <v>49</v>
      </c>
      <c r="M31" t="s">
        <v>11</v>
      </c>
      <c r="N31">
        <v>30</v>
      </c>
    </row>
    <row r="32" spans="1:15" x14ac:dyDescent="0.75">
      <c r="B32" s="1">
        <v>46370</v>
      </c>
      <c r="C32" t="str">
        <f>TEXT(B32,"dddd")</f>
        <v>Monday</v>
      </c>
      <c r="E32" t="s">
        <v>11</v>
      </c>
      <c r="M32" t="s">
        <v>12</v>
      </c>
      <c r="N32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7905A-CA32-4B40-895F-BD2C4EDB4DB8}">
  <dimension ref="A1:P32"/>
  <sheetViews>
    <sheetView workbookViewId="0">
      <selection activeCell="D6" sqref="D6"/>
    </sheetView>
  </sheetViews>
  <sheetFormatPr defaultRowHeight="14.75" x14ac:dyDescent="0.75"/>
  <cols>
    <col min="2" max="2" width="9.86328125" bestFit="1" customWidth="1"/>
    <col min="3" max="3" width="11.1328125" bestFit="1" customWidth="1"/>
    <col min="4" max="4" width="49.7265625" bestFit="1" customWidth="1"/>
    <col min="5" max="5" width="19.54296875" bestFit="1" customWidth="1"/>
    <col min="6" max="7" width="19.54296875" customWidth="1"/>
    <col min="9" max="9" width="22.26953125" bestFit="1" customWidth="1"/>
    <col min="13" max="13" width="29" bestFit="1" customWidth="1"/>
  </cols>
  <sheetData>
    <row r="1" spans="1:16" x14ac:dyDescent="0.75">
      <c r="A1" t="s">
        <v>0</v>
      </c>
      <c r="B1" t="s">
        <v>1</v>
      </c>
      <c r="C1" t="s">
        <v>3</v>
      </c>
      <c r="D1" t="s">
        <v>2</v>
      </c>
      <c r="E1" t="s">
        <v>5</v>
      </c>
    </row>
    <row r="2" spans="1:16" x14ac:dyDescent="0.75">
      <c r="A2">
        <v>1</v>
      </c>
      <c r="B2" s="1">
        <v>46259</v>
      </c>
      <c r="C2" s="1" t="str">
        <f>TEXT(B2,"dddd")</f>
        <v>Tuesday</v>
      </c>
      <c r="D2" t="s">
        <v>47</v>
      </c>
      <c r="I2" t="s">
        <v>6</v>
      </c>
    </row>
    <row r="3" spans="1:16" x14ac:dyDescent="0.75">
      <c r="A3">
        <v>2</v>
      </c>
      <c r="B3" s="1">
        <v>46261</v>
      </c>
      <c r="C3" s="1" t="str">
        <f t="shared" ref="C3:C31" si="0">TEXT(B3,"dddd")</f>
        <v>Thursday</v>
      </c>
      <c r="D3" t="s">
        <v>16</v>
      </c>
    </row>
    <row r="4" spans="1:16" x14ac:dyDescent="0.75">
      <c r="A4">
        <v>3</v>
      </c>
      <c r="B4" s="1">
        <v>46266</v>
      </c>
      <c r="C4" s="1" t="str">
        <f t="shared" si="0"/>
        <v>Tuesday</v>
      </c>
      <c r="D4" t="s">
        <v>14</v>
      </c>
    </row>
    <row r="5" spans="1:16" x14ac:dyDescent="0.75">
      <c r="A5">
        <v>4</v>
      </c>
      <c r="B5" s="1">
        <v>46268</v>
      </c>
      <c r="C5" s="1" t="str">
        <f t="shared" si="0"/>
        <v>Thursday</v>
      </c>
      <c r="D5" t="s">
        <v>82</v>
      </c>
    </row>
    <row r="6" spans="1:16" x14ac:dyDescent="0.75">
      <c r="A6">
        <v>5</v>
      </c>
      <c r="B6" s="1">
        <v>46273</v>
      </c>
      <c r="C6" s="1" t="str">
        <f t="shared" si="0"/>
        <v>Tuesday</v>
      </c>
      <c r="D6" t="s">
        <v>18</v>
      </c>
      <c r="O6" t="s">
        <v>42</v>
      </c>
      <c r="P6" t="s">
        <v>43</v>
      </c>
    </row>
    <row r="7" spans="1:16" x14ac:dyDescent="0.75">
      <c r="A7">
        <v>6</v>
      </c>
      <c r="B7" s="1">
        <v>46275</v>
      </c>
      <c r="C7" s="1" t="str">
        <f t="shared" si="0"/>
        <v>Thursday</v>
      </c>
      <c r="D7" t="s">
        <v>81</v>
      </c>
      <c r="P7" t="s">
        <v>44</v>
      </c>
    </row>
    <row r="8" spans="1:16" x14ac:dyDescent="0.75">
      <c r="A8">
        <v>7</v>
      </c>
      <c r="B8" s="1">
        <v>46280</v>
      </c>
      <c r="C8" s="1" t="str">
        <f t="shared" si="0"/>
        <v>Tuesday</v>
      </c>
      <c r="D8" t="s">
        <v>19</v>
      </c>
      <c r="P8" t="s">
        <v>45</v>
      </c>
    </row>
    <row r="9" spans="1:16" x14ac:dyDescent="0.75">
      <c r="A9">
        <v>8</v>
      </c>
      <c r="B9" s="1">
        <v>46282</v>
      </c>
      <c r="C9" s="1" t="str">
        <f t="shared" si="0"/>
        <v>Thursday</v>
      </c>
      <c r="D9" t="s">
        <v>20</v>
      </c>
    </row>
    <row r="10" spans="1:16" x14ac:dyDescent="0.75">
      <c r="A10">
        <v>9</v>
      </c>
      <c r="B10" s="1">
        <v>46287</v>
      </c>
      <c r="C10" s="1" t="str">
        <f t="shared" si="0"/>
        <v>Tuesday</v>
      </c>
      <c r="D10" t="s">
        <v>21</v>
      </c>
      <c r="F10" t="s">
        <v>48</v>
      </c>
      <c r="G10" t="s">
        <v>46</v>
      </c>
    </row>
    <row r="11" spans="1:16" x14ac:dyDescent="0.75">
      <c r="A11">
        <v>10</v>
      </c>
      <c r="B11" s="1">
        <v>46289</v>
      </c>
      <c r="C11" s="1" t="str">
        <f t="shared" si="0"/>
        <v>Thursday</v>
      </c>
      <c r="D11" t="s">
        <v>22</v>
      </c>
    </row>
    <row r="12" spans="1:16" x14ac:dyDescent="0.75">
      <c r="A12">
        <v>11</v>
      </c>
      <c r="B12" s="1">
        <v>46294</v>
      </c>
      <c r="C12" s="1" t="str">
        <f t="shared" si="0"/>
        <v>Tuesday</v>
      </c>
      <c r="D12" t="s">
        <v>23</v>
      </c>
    </row>
    <row r="13" spans="1:16" x14ac:dyDescent="0.75">
      <c r="A13">
        <v>12</v>
      </c>
      <c r="B13" s="1">
        <v>46296</v>
      </c>
      <c r="C13" s="1" t="str">
        <f t="shared" si="0"/>
        <v>Thursday</v>
      </c>
      <c r="D13" t="s">
        <v>24</v>
      </c>
    </row>
    <row r="14" spans="1:16" x14ac:dyDescent="0.75">
      <c r="A14">
        <v>13</v>
      </c>
      <c r="B14" s="1">
        <v>46301</v>
      </c>
      <c r="C14" s="1" t="str">
        <f t="shared" si="0"/>
        <v>Tuesday</v>
      </c>
      <c r="D14" t="s">
        <v>26</v>
      </c>
    </row>
    <row r="15" spans="1:16" x14ac:dyDescent="0.75">
      <c r="A15">
        <v>14</v>
      </c>
      <c r="B15" s="1">
        <v>46303</v>
      </c>
      <c r="C15" s="1" t="str">
        <f t="shared" si="0"/>
        <v>Thursday</v>
      </c>
      <c r="D15" t="s">
        <v>8</v>
      </c>
      <c r="E15" t="s">
        <v>34</v>
      </c>
    </row>
    <row r="16" spans="1:16" x14ac:dyDescent="0.75">
      <c r="A16">
        <v>15</v>
      </c>
      <c r="B16" s="1">
        <v>46308</v>
      </c>
      <c r="C16" s="1" t="str">
        <f t="shared" si="0"/>
        <v>Tuesday</v>
      </c>
      <c r="D16" t="s">
        <v>4</v>
      </c>
    </row>
    <row r="17" spans="1:15" x14ac:dyDescent="0.75">
      <c r="A17">
        <v>16</v>
      </c>
      <c r="B17" s="1">
        <v>46310</v>
      </c>
      <c r="C17" s="1" t="str">
        <f t="shared" si="0"/>
        <v>Thursday</v>
      </c>
      <c r="D17" t="s">
        <v>25</v>
      </c>
    </row>
    <row r="18" spans="1:15" x14ac:dyDescent="0.75">
      <c r="A18">
        <v>17</v>
      </c>
      <c r="B18" s="1">
        <v>46315</v>
      </c>
      <c r="C18" s="1" t="str">
        <f t="shared" si="0"/>
        <v>Tuesday</v>
      </c>
      <c r="D18" t="s">
        <v>26</v>
      </c>
    </row>
    <row r="19" spans="1:15" x14ac:dyDescent="0.75">
      <c r="A19">
        <v>18</v>
      </c>
      <c r="B19" s="1">
        <v>46317</v>
      </c>
      <c r="C19" s="1" t="str">
        <f t="shared" si="0"/>
        <v>Thursday</v>
      </c>
      <c r="D19" t="s">
        <v>9</v>
      </c>
      <c r="E19" t="s">
        <v>34</v>
      </c>
      <c r="I19" t="s">
        <v>5</v>
      </c>
      <c r="L19" t="s">
        <v>40</v>
      </c>
      <c r="M19" t="s">
        <v>35</v>
      </c>
    </row>
    <row r="20" spans="1:15" x14ac:dyDescent="0.75">
      <c r="A20">
        <v>19</v>
      </c>
      <c r="B20" s="1">
        <v>46322</v>
      </c>
      <c r="C20" s="1" t="str">
        <f t="shared" si="0"/>
        <v>Tuesday</v>
      </c>
      <c r="D20" t="s">
        <v>29</v>
      </c>
      <c r="I20" t="s">
        <v>7</v>
      </c>
      <c r="M20" t="s">
        <v>36</v>
      </c>
    </row>
    <row r="21" spans="1:15" x14ac:dyDescent="0.75">
      <c r="A21">
        <v>20</v>
      </c>
      <c r="B21" s="1">
        <v>46324</v>
      </c>
      <c r="C21" s="1" t="str">
        <f t="shared" si="0"/>
        <v>Thursday</v>
      </c>
      <c r="D21" t="s">
        <v>30</v>
      </c>
      <c r="I21" t="s">
        <v>8</v>
      </c>
      <c r="M21" t="s">
        <v>37</v>
      </c>
    </row>
    <row r="22" spans="1:15" x14ac:dyDescent="0.75">
      <c r="A22">
        <v>21</v>
      </c>
      <c r="B22" s="1">
        <v>46329</v>
      </c>
      <c r="C22" s="1" t="str">
        <f t="shared" si="0"/>
        <v>Tuesday</v>
      </c>
      <c r="D22" t="s">
        <v>26</v>
      </c>
      <c r="I22" t="s">
        <v>9</v>
      </c>
      <c r="M22" t="s">
        <v>38</v>
      </c>
    </row>
    <row r="23" spans="1:15" x14ac:dyDescent="0.75">
      <c r="A23">
        <v>22</v>
      </c>
      <c r="B23" s="1">
        <v>46331</v>
      </c>
      <c r="C23" s="1" t="str">
        <f t="shared" si="0"/>
        <v>Thursday</v>
      </c>
      <c r="D23" t="s">
        <v>27</v>
      </c>
      <c r="E23" t="s">
        <v>34</v>
      </c>
      <c r="I23" t="s">
        <v>10</v>
      </c>
      <c r="M23" t="s">
        <v>39</v>
      </c>
    </row>
    <row r="24" spans="1:15" x14ac:dyDescent="0.75">
      <c r="A24">
        <v>23</v>
      </c>
      <c r="B24" s="1">
        <v>46336</v>
      </c>
      <c r="C24" s="1" t="str">
        <f t="shared" si="0"/>
        <v>Tuesday</v>
      </c>
      <c r="D24" t="s">
        <v>31</v>
      </c>
      <c r="I24" t="s">
        <v>11</v>
      </c>
      <c r="J24">
        <v>40</v>
      </c>
    </row>
    <row r="25" spans="1:15" x14ac:dyDescent="0.75">
      <c r="A25">
        <v>24</v>
      </c>
      <c r="B25" s="1">
        <v>46338</v>
      </c>
      <c r="C25" s="1" t="str">
        <f t="shared" si="0"/>
        <v>Thursday</v>
      </c>
      <c r="D25" t="s">
        <v>32</v>
      </c>
      <c r="I25" t="s">
        <v>12</v>
      </c>
      <c r="J25">
        <v>10</v>
      </c>
      <c r="N25">
        <f>SUM(N26:N35)</f>
        <v>100</v>
      </c>
    </row>
    <row r="26" spans="1:15" x14ac:dyDescent="0.75">
      <c r="A26">
        <v>25</v>
      </c>
      <c r="B26" s="1">
        <v>46343</v>
      </c>
      <c r="C26" s="1" t="str">
        <f t="shared" si="0"/>
        <v>Tuesday</v>
      </c>
      <c r="D26" t="s">
        <v>26</v>
      </c>
      <c r="I26" t="s">
        <v>13</v>
      </c>
      <c r="M26" t="s">
        <v>41</v>
      </c>
      <c r="N26">
        <v>10</v>
      </c>
      <c r="O26">
        <v>100</v>
      </c>
    </row>
    <row r="27" spans="1:15" x14ac:dyDescent="0.75">
      <c r="A27">
        <v>26</v>
      </c>
      <c r="B27" s="1">
        <v>46345</v>
      </c>
      <c r="C27" t="str">
        <f t="shared" si="0"/>
        <v>Thursday</v>
      </c>
      <c r="D27" t="s">
        <v>28</v>
      </c>
      <c r="E27" t="s">
        <v>34</v>
      </c>
      <c r="M27" t="s">
        <v>41</v>
      </c>
      <c r="N27">
        <v>10</v>
      </c>
      <c r="O27">
        <v>100</v>
      </c>
    </row>
    <row r="28" spans="1:15" x14ac:dyDescent="0.75">
      <c r="A28">
        <v>27</v>
      </c>
      <c r="B28" s="1">
        <v>46350</v>
      </c>
      <c r="C28" t="str">
        <f t="shared" si="0"/>
        <v>Tuesday</v>
      </c>
      <c r="D28" t="s">
        <v>33</v>
      </c>
      <c r="M28" t="s">
        <v>41</v>
      </c>
      <c r="N28">
        <v>10</v>
      </c>
      <c r="O28">
        <v>100</v>
      </c>
    </row>
    <row r="29" spans="1:15" x14ac:dyDescent="0.75">
      <c r="A29">
        <v>28</v>
      </c>
      <c r="B29" s="1">
        <v>46352</v>
      </c>
      <c r="C29" t="str">
        <f t="shared" si="0"/>
        <v>Thursday</v>
      </c>
      <c r="D29" t="s">
        <v>4</v>
      </c>
      <c r="M29" t="s">
        <v>41</v>
      </c>
      <c r="N29">
        <v>10</v>
      </c>
      <c r="O29">
        <v>100</v>
      </c>
    </row>
    <row r="30" spans="1:15" x14ac:dyDescent="0.75">
      <c r="A30">
        <v>29</v>
      </c>
      <c r="B30" s="1">
        <v>46357</v>
      </c>
      <c r="C30" t="str">
        <f t="shared" si="0"/>
        <v>Tuesday</v>
      </c>
      <c r="D30" t="s">
        <v>26</v>
      </c>
      <c r="M30" t="s">
        <v>41</v>
      </c>
      <c r="N30">
        <v>20</v>
      </c>
      <c r="O30">
        <v>200</v>
      </c>
    </row>
    <row r="31" spans="1:15" x14ac:dyDescent="0.75">
      <c r="A31">
        <v>30</v>
      </c>
      <c r="B31" s="1">
        <v>46359</v>
      </c>
      <c r="C31" t="str">
        <f t="shared" si="0"/>
        <v>Thursday</v>
      </c>
      <c r="D31" t="s">
        <v>10</v>
      </c>
      <c r="E31" t="s">
        <v>34</v>
      </c>
      <c r="F31" t="s">
        <v>49</v>
      </c>
      <c r="M31" t="s">
        <v>11</v>
      </c>
      <c r="N31">
        <v>30</v>
      </c>
    </row>
    <row r="32" spans="1:15" x14ac:dyDescent="0.75">
      <c r="B32" s="1">
        <v>46370</v>
      </c>
      <c r="C32" t="str">
        <f>TEXT(B32,"dddd")</f>
        <v>Monday</v>
      </c>
      <c r="E32" t="s">
        <v>11</v>
      </c>
      <c r="M32" t="s">
        <v>12</v>
      </c>
      <c r="N32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40556-0870-4E93-8B1B-E83F3F545B75}">
  <dimension ref="A1:P32"/>
  <sheetViews>
    <sheetView workbookViewId="0">
      <selection activeCell="D16" sqref="D16"/>
    </sheetView>
  </sheetViews>
  <sheetFormatPr defaultRowHeight="14.75" x14ac:dyDescent="0.75"/>
  <cols>
    <col min="2" max="2" width="9.86328125" bestFit="1" customWidth="1"/>
    <col min="3" max="3" width="11.1328125" bestFit="1" customWidth="1"/>
    <col min="4" max="4" width="49.7265625" bestFit="1" customWidth="1"/>
    <col min="5" max="5" width="19.54296875" bestFit="1" customWidth="1"/>
    <col min="6" max="7" width="19.54296875" customWidth="1"/>
    <col min="9" max="9" width="22.26953125" bestFit="1" customWidth="1"/>
    <col min="13" max="13" width="29" bestFit="1" customWidth="1"/>
  </cols>
  <sheetData>
    <row r="1" spans="1:16" x14ac:dyDescent="0.75">
      <c r="A1" t="s">
        <v>0</v>
      </c>
      <c r="B1" t="s">
        <v>1</v>
      </c>
      <c r="C1" t="s">
        <v>3</v>
      </c>
      <c r="D1" t="s">
        <v>2</v>
      </c>
      <c r="E1" t="s">
        <v>5</v>
      </c>
    </row>
    <row r="2" spans="1:16" x14ac:dyDescent="0.75">
      <c r="A2">
        <v>1</v>
      </c>
      <c r="B2" s="1">
        <v>46259</v>
      </c>
      <c r="C2" s="1" t="str">
        <f>TEXT(B2,"dddd")</f>
        <v>Tuesday</v>
      </c>
      <c r="D2" t="s">
        <v>47</v>
      </c>
      <c r="I2" t="s">
        <v>6</v>
      </c>
    </row>
    <row r="3" spans="1:16" x14ac:dyDescent="0.75">
      <c r="A3">
        <v>2</v>
      </c>
      <c r="B3" s="1">
        <v>46261</v>
      </c>
      <c r="C3" s="1" t="str">
        <f t="shared" ref="C3:C31" si="0">TEXT(B3,"dddd")</f>
        <v>Thursday</v>
      </c>
      <c r="D3" t="s">
        <v>16</v>
      </c>
    </row>
    <row r="4" spans="1:16" x14ac:dyDescent="0.75">
      <c r="A4">
        <v>3</v>
      </c>
      <c r="B4" s="1">
        <v>46266</v>
      </c>
      <c r="C4" s="1" t="str">
        <f t="shared" si="0"/>
        <v>Tuesday</v>
      </c>
      <c r="D4" t="s">
        <v>14</v>
      </c>
    </row>
    <row r="5" spans="1:16" x14ac:dyDescent="0.75">
      <c r="A5">
        <v>4</v>
      </c>
      <c r="B5" s="1">
        <v>46268</v>
      </c>
      <c r="C5" s="1" t="str">
        <f t="shared" si="0"/>
        <v>Thursday</v>
      </c>
      <c r="D5" t="s">
        <v>17</v>
      </c>
    </row>
    <row r="6" spans="1:16" x14ac:dyDescent="0.75">
      <c r="A6">
        <v>5</v>
      </c>
      <c r="B6" s="1">
        <v>46273</v>
      </c>
      <c r="C6" s="1" t="str">
        <f t="shared" si="0"/>
        <v>Tuesday</v>
      </c>
      <c r="D6" t="s">
        <v>18</v>
      </c>
      <c r="O6" t="s">
        <v>42</v>
      </c>
      <c r="P6" t="s">
        <v>43</v>
      </c>
    </row>
    <row r="7" spans="1:16" x14ac:dyDescent="0.75">
      <c r="A7">
        <v>6</v>
      </c>
      <c r="B7" s="1">
        <v>46275</v>
      </c>
      <c r="C7" s="1" t="str">
        <f t="shared" si="0"/>
        <v>Thursday</v>
      </c>
      <c r="D7" t="s">
        <v>15</v>
      </c>
      <c r="P7" t="s">
        <v>44</v>
      </c>
    </row>
    <row r="8" spans="1:16" x14ac:dyDescent="0.75">
      <c r="A8">
        <v>7</v>
      </c>
      <c r="B8" s="1">
        <v>46280</v>
      </c>
      <c r="C8" s="1" t="str">
        <f t="shared" si="0"/>
        <v>Tuesday</v>
      </c>
      <c r="D8" t="s">
        <v>20</v>
      </c>
      <c r="P8" t="s">
        <v>45</v>
      </c>
    </row>
    <row r="9" spans="1:16" x14ac:dyDescent="0.75">
      <c r="A9">
        <v>8</v>
      </c>
      <c r="B9" s="1">
        <v>46282</v>
      </c>
      <c r="C9" s="1" t="str">
        <f t="shared" si="0"/>
        <v>Thursday</v>
      </c>
      <c r="D9" t="s">
        <v>21</v>
      </c>
    </row>
    <row r="10" spans="1:16" x14ac:dyDescent="0.75">
      <c r="A10">
        <v>9</v>
      </c>
      <c r="B10" s="1">
        <v>46287</v>
      </c>
      <c r="C10" s="1" t="str">
        <f t="shared" si="0"/>
        <v>Tuesday</v>
      </c>
      <c r="D10" t="s">
        <v>22</v>
      </c>
      <c r="F10" t="s">
        <v>48</v>
      </c>
      <c r="G10" t="s">
        <v>46</v>
      </c>
    </row>
    <row r="11" spans="1:16" x14ac:dyDescent="0.75">
      <c r="A11">
        <v>10</v>
      </c>
      <c r="B11" s="1">
        <v>46289</v>
      </c>
      <c r="C11" s="1" t="str">
        <f t="shared" si="0"/>
        <v>Thursday</v>
      </c>
      <c r="D11" t="s">
        <v>23</v>
      </c>
    </row>
    <row r="12" spans="1:16" x14ac:dyDescent="0.75">
      <c r="A12">
        <v>11</v>
      </c>
      <c r="B12" s="1">
        <v>46294</v>
      </c>
      <c r="C12" s="1" t="str">
        <f t="shared" si="0"/>
        <v>Tuesday</v>
      </c>
      <c r="D12" t="s">
        <v>24</v>
      </c>
    </row>
    <row r="13" spans="1:16" x14ac:dyDescent="0.75">
      <c r="A13">
        <v>12</v>
      </c>
      <c r="B13" s="1">
        <v>46296</v>
      </c>
      <c r="C13" s="1" t="str">
        <f t="shared" si="0"/>
        <v>Thursday</v>
      </c>
      <c r="D13" t="s">
        <v>25</v>
      </c>
    </row>
    <row r="14" spans="1:16" x14ac:dyDescent="0.75">
      <c r="A14">
        <v>13</v>
      </c>
      <c r="B14" s="1">
        <v>46301</v>
      </c>
      <c r="C14" s="1" t="str">
        <f t="shared" si="0"/>
        <v>Tuesday</v>
      </c>
      <c r="D14" t="s">
        <v>26</v>
      </c>
    </row>
    <row r="15" spans="1:16" x14ac:dyDescent="0.75">
      <c r="A15">
        <v>14</v>
      </c>
      <c r="B15" s="1">
        <v>46303</v>
      </c>
      <c r="C15" s="1" t="str">
        <f t="shared" si="0"/>
        <v>Thursday</v>
      </c>
      <c r="D15" t="s">
        <v>8</v>
      </c>
      <c r="E15" t="s">
        <v>34</v>
      </c>
    </row>
    <row r="16" spans="1:16" x14ac:dyDescent="0.75">
      <c r="A16">
        <v>15</v>
      </c>
      <c r="B16" s="1">
        <v>46308</v>
      </c>
      <c r="C16" s="1" t="str">
        <f t="shared" si="0"/>
        <v>Tuesday</v>
      </c>
      <c r="D16" t="s">
        <v>4</v>
      </c>
    </row>
    <row r="17" spans="1:15" x14ac:dyDescent="0.75">
      <c r="A17">
        <v>16</v>
      </c>
      <c r="B17" s="1">
        <v>46310</v>
      </c>
      <c r="C17" s="1" t="str">
        <f t="shared" si="0"/>
        <v>Thursday</v>
      </c>
      <c r="D17" t="s">
        <v>19</v>
      </c>
    </row>
    <row r="18" spans="1:15" x14ac:dyDescent="0.75">
      <c r="A18">
        <v>17</v>
      </c>
      <c r="B18" s="1">
        <v>46315</v>
      </c>
      <c r="C18" s="1" t="str">
        <f t="shared" si="0"/>
        <v>Tuesday</v>
      </c>
      <c r="D18" t="s">
        <v>26</v>
      </c>
    </row>
    <row r="19" spans="1:15" x14ac:dyDescent="0.75">
      <c r="A19">
        <v>18</v>
      </c>
      <c r="B19" s="1">
        <v>46317</v>
      </c>
      <c r="C19" s="1" t="str">
        <f t="shared" si="0"/>
        <v>Thursday</v>
      </c>
      <c r="D19" t="s">
        <v>9</v>
      </c>
      <c r="E19" t="s">
        <v>34</v>
      </c>
      <c r="I19" t="s">
        <v>5</v>
      </c>
      <c r="L19" t="s">
        <v>40</v>
      </c>
      <c r="M19" t="s">
        <v>35</v>
      </c>
    </row>
    <row r="20" spans="1:15" x14ac:dyDescent="0.75">
      <c r="A20">
        <v>19</v>
      </c>
      <c r="B20" s="1">
        <v>46322</v>
      </c>
      <c r="C20" s="1" t="str">
        <f t="shared" si="0"/>
        <v>Tuesday</v>
      </c>
      <c r="D20" t="s">
        <v>29</v>
      </c>
      <c r="I20" t="s">
        <v>7</v>
      </c>
      <c r="M20" t="s">
        <v>36</v>
      </c>
    </row>
    <row r="21" spans="1:15" x14ac:dyDescent="0.75">
      <c r="A21">
        <v>20</v>
      </c>
      <c r="B21" s="1">
        <v>46324</v>
      </c>
      <c r="C21" s="1" t="str">
        <f t="shared" si="0"/>
        <v>Thursday</v>
      </c>
      <c r="D21" t="s">
        <v>30</v>
      </c>
      <c r="I21" t="s">
        <v>8</v>
      </c>
      <c r="M21" t="s">
        <v>37</v>
      </c>
    </row>
    <row r="22" spans="1:15" x14ac:dyDescent="0.75">
      <c r="A22">
        <v>21</v>
      </c>
      <c r="B22" s="1">
        <v>46329</v>
      </c>
      <c r="C22" s="1" t="str">
        <f t="shared" si="0"/>
        <v>Tuesday</v>
      </c>
      <c r="D22" t="s">
        <v>26</v>
      </c>
      <c r="I22" t="s">
        <v>9</v>
      </c>
      <c r="M22" t="s">
        <v>38</v>
      </c>
    </row>
    <row r="23" spans="1:15" x14ac:dyDescent="0.75">
      <c r="A23">
        <v>22</v>
      </c>
      <c r="B23" s="1">
        <v>46331</v>
      </c>
      <c r="C23" s="1" t="str">
        <f t="shared" si="0"/>
        <v>Thursday</v>
      </c>
      <c r="D23" t="s">
        <v>27</v>
      </c>
      <c r="E23" t="s">
        <v>34</v>
      </c>
      <c r="I23" t="s">
        <v>10</v>
      </c>
      <c r="M23" t="s">
        <v>39</v>
      </c>
    </row>
    <row r="24" spans="1:15" x14ac:dyDescent="0.75">
      <c r="A24">
        <v>23</v>
      </c>
      <c r="B24" s="1">
        <v>46336</v>
      </c>
      <c r="C24" s="1" t="str">
        <f t="shared" si="0"/>
        <v>Tuesday</v>
      </c>
      <c r="D24" t="s">
        <v>31</v>
      </c>
      <c r="I24" t="s">
        <v>11</v>
      </c>
      <c r="J24">
        <v>40</v>
      </c>
    </row>
    <row r="25" spans="1:15" x14ac:dyDescent="0.75">
      <c r="A25">
        <v>24</v>
      </c>
      <c r="B25" s="1">
        <v>46338</v>
      </c>
      <c r="C25" s="1" t="str">
        <f t="shared" si="0"/>
        <v>Thursday</v>
      </c>
      <c r="D25" t="s">
        <v>32</v>
      </c>
      <c r="I25" t="s">
        <v>12</v>
      </c>
      <c r="J25">
        <v>10</v>
      </c>
      <c r="N25">
        <f>SUM(N26:N35)</f>
        <v>100</v>
      </c>
    </row>
    <row r="26" spans="1:15" x14ac:dyDescent="0.75">
      <c r="A26">
        <v>25</v>
      </c>
      <c r="B26" s="1">
        <v>46343</v>
      </c>
      <c r="C26" s="1" t="str">
        <f t="shared" si="0"/>
        <v>Tuesday</v>
      </c>
      <c r="D26" t="s">
        <v>26</v>
      </c>
      <c r="I26" t="s">
        <v>13</v>
      </c>
      <c r="M26" t="s">
        <v>41</v>
      </c>
      <c r="N26">
        <v>10</v>
      </c>
      <c r="O26">
        <v>100</v>
      </c>
    </row>
    <row r="27" spans="1:15" x14ac:dyDescent="0.75">
      <c r="A27">
        <v>26</v>
      </c>
      <c r="B27" s="1">
        <v>46345</v>
      </c>
      <c r="C27" t="str">
        <f t="shared" si="0"/>
        <v>Thursday</v>
      </c>
      <c r="D27" t="s">
        <v>28</v>
      </c>
      <c r="E27" t="s">
        <v>34</v>
      </c>
      <c r="M27" t="s">
        <v>41</v>
      </c>
      <c r="N27">
        <v>10</v>
      </c>
      <c r="O27">
        <v>100</v>
      </c>
    </row>
    <row r="28" spans="1:15" x14ac:dyDescent="0.75">
      <c r="A28">
        <v>27</v>
      </c>
      <c r="B28" s="1">
        <v>46350</v>
      </c>
      <c r="C28" t="str">
        <f t="shared" si="0"/>
        <v>Tuesday</v>
      </c>
      <c r="D28" t="s">
        <v>33</v>
      </c>
      <c r="M28" t="s">
        <v>41</v>
      </c>
      <c r="N28">
        <v>10</v>
      </c>
      <c r="O28">
        <v>100</v>
      </c>
    </row>
    <row r="29" spans="1:15" x14ac:dyDescent="0.75">
      <c r="A29">
        <v>28</v>
      </c>
      <c r="B29" s="1">
        <v>46352</v>
      </c>
      <c r="C29" t="str">
        <f t="shared" si="0"/>
        <v>Thursday</v>
      </c>
      <c r="D29" t="s">
        <v>4</v>
      </c>
      <c r="M29" t="s">
        <v>41</v>
      </c>
      <c r="N29">
        <v>10</v>
      </c>
      <c r="O29">
        <v>100</v>
      </c>
    </row>
    <row r="30" spans="1:15" x14ac:dyDescent="0.75">
      <c r="A30">
        <v>29</v>
      </c>
      <c r="B30" s="1">
        <v>46357</v>
      </c>
      <c r="C30" t="str">
        <f t="shared" si="0"/>
        <v>Tuesday</v>
      </c>
      <c r="D30" t="s">
        <v>26</v>
      </c>
      <c r="M30" t="s">
        <v>41</v>
      </c>
      <c r="N30">
        <v>20</v>
      </c>
      <c r="O30">
        <v>200</v>
      </c>
    </row>
    <row r="31" spans="1:15" x14ac:dyDescent="0.75">
      <c r="A31">
        <v>30</v>
      </c>
      <c r="B31" s="1">
        <v>46359</v>
      </c>
      <c r="C31" t="str">
        <f t="shared" si="0"/>
        <v>Thursday</v>
      </c>
      <c r="D31" t="s">
        <v>10</v>
      </c>
      <c r="E31" t="s">
        <v>34</v>
      </c>
      <c r="F31" t="s">
        <v>49</v>
      </c>
      <c r="M31" t="s">
        <v>11</v>
      </c>
      <c r="N31">
        <v>30</v>
      </c>
    </row>
    <row r="32" spans="1:15" x14ac:dyDescent="0.75">
      <c r="B32" s="1">
        <v>46370</v>
      </c>
      <c r="C32" t="str">
        <f>TEXT(B32,"dddd")</f>
        <v>Monday</v>
      </c>
      <c r="E32" t="s">
        <v>11</v>
      </c>
      <c r="M32" t="s">
        <v>12</v>
      </c>
      <c r="N32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1851E-B9B4-4F40-BCE3-8E8BA5643E0A}">
  <sheetPr>
    <pageSetUpPr fitToPage="1"/>
  </sheetPr>
  <dimension ref="A1:T67"/>
  <sheetViews>
    <sheetView workbookViewId="0">
      <pane ySplit="1" topLeftCell="A35" activePane="bottomLeft" state="frozen"/>
      <selection pane="bottomLeft" activeCell="D61" sqref="D61"/>
    </sheetView>
  </sheetViews>
  <sheetFormatPr defaultRowHeight="14.75" x14ac:dyDescent="0.75"/>
  <cols>
    <col min="2" max="2" width="9.7265625" bestFit="1" customWidth="1"/>
    <col min="4" max="4" width="30.86328125" bestFit="1" customWidth="1"/>
    <col min="6" max="6" width="96.86328125" bestFit="1" customWidth="1"/>
  </cols>
  <sheetData>
    <row r="1" spans="1:9" x14ac:dyDescent="0.75">
      <c r="A1" t="s">
        <v>96</v>
      </c>
    </row>
    <row r="3" spans="1:9" x14ac:dyDescent="0.75">
      <c r="A3" t="s">
        <v>3</v>
      </c>
      <c r="B3" t="s">
        <v>1</v>
      </c>
      <c r="C3" t="s">
        <v>50</v>
      </c>
      <c r="D3" t="s">
        <v>51</v>
      </c>
      <c r="E3" t="s">
        <v>52</v>
      </c>
      <c r="F3" t="s">
        <v>2</v>
      </c>
    </row>
    <row r="4" spans="1:9" x14ac:dyDescent="0.75">
      <c r="A4">
        <v>1</v>
      </c>
      <c r="B4" s="1">
        <v>46259</v>
      </c>
      <c r="C4" s="4">
        <v>0.35416666666666669</v>
      </c>
      <c r="D4" s="3">
        <v>5</v>
      </c>
      <c r="E4" s="2">
        <f>C4+TIME(0,D4,0)</f>
        <v>0.3576388888888889</v>
      </c>
      <c r="F4" t="s">
        <v>53</v>
      </c>
      <c r="I4" t="s">
        <v>66</v>
      </c>
    </row>
    <row r="5" spans="1:9" x14ac:dyDescent="0.75">
      <c r="A5">
        <v>1</v>
      </c>
      <c r="B5" s="1">
        <v>46259</v>
      </c>
      <c r="C5" s="2">
        <f>E4</f>
        <v>0.3576388888888889</v>
      </c>
      <c r="D5" s="3">
        <v>15</v>
      </c>
      <c r="E5" s="2">
        <f>C5+TIME(0,D5,0)</f>
        <v>0.36805555555555558</v>
      </c>
      <c r="F5" t="s">
        <v>54</v>
      </c>
      <c r="I5" t="s">
        <v>67</v>
      </c>
    </row>
    <row r="6" spans="1:9" x14ac:dyDescent="0.75">
      <c r="A6">
        <v>1</v>
      </c>
      <c r="B6" s="1">
        <v>46259</v>
      </c>
      <c r="C6" s="2">
        <f t="shared" ref="C6:C17" si="0">E5</f>
        <v>0.36805555555555558</v>
      </c>
      <c r="D6" s="3">
        <v>8</v>
      </c>
      <c r="E6" s="2">
        <f t="shared" ref="E6:E33" si="1">C6+TIME(0,D6,0)</f>
        <v>0.37361111111111112</v>
      </c>
      <c r="F6" t="s">
        <v>55</v>
      </c>
      <c r="I6" t="s">
        <v>68</v>
      </c>
    </row>
    <row r="7" spans="1:9" x14ac:dyDescent="0.75">
      <c r="A7">
        <v>1</v>
      </c>
      <c r="B7" s="1">
        <v>46259</v>
      </c>
      <c r="C7" s="2">
        <f t="shared" si="0"/>
        <v>0.37361111111111112</v>
      </c>
      <c r="D7" s="3">
        <v>22</v>
      </c>
      <c r="E7" s="2">
        <f t="shared" si="1"/>
        <v>0.3888888888888889</v>
      </c>
      <c r="F7" t="s">
        <v>56</v>
      </c>
      <c r="I7" t="s">
        <v>69</v>
      </c>
    </row>
    <row r="8" spans="1:9" x14ac:dyDescent="0.75">
      <c r="A8">
        <v>1</v>
      </c>
      <c r="B8" s="1">
        <v>46259</v>
      </c>
      <c r="C8" s="2">
        <f t="shared" si="0"/>
        <v>0.3888888888888889</v>
      </c>
      <c r="D8" s="3">
        <v>8</v>
      </c>
      <c r="E8" s="2">
        <f t="shared" si="1"/>
        <v>0.39444444444444443</v>
      </c>
      <c r="F8" t="s">
        <v>58</v>
      </c>
    </row>
    <row r="9" spans="1:9" x14ac:dyDescent="0.75">
      <c r="A9">
        <v>1</v>
      </c>
      <c r="B9" s="1">
        <v>46259</v>
      </c>
      <c r="C9" s="2">
        <f t="shared" si="0"/>
        <v>0.39444444444444443</v>
      </c>
      <c r="D9" s="3">
        <v>17</v>
      </c>
      <c r="E9" s="2">
        <f t="shared" si="1"/>
        <v>0.40625</v>
      </c>
      <c r="F9" t="s">
        <v>57</v>
      </c>
    </row>
    <row r="10" spans="1:9" x14ac:dyDescent="0.75">
      <c r="B10" s="1"/>
      <c r="C10" s="2"/>
      <c r="E10" s="2"/>
    </row>
    <row r="11" spans="1:9" x14ac:dyDescent="0.75">
      <c r="B11" s="1"/>
      <c r="C11" s="2"/>
      <c r="E11" s="2"/>
    </row>
    <row r="12" spans="1:9" x14ac:dyDescent="0.75">
      <c r="A12">
        <v>2</v>
      </c>
      <c r="B12" s="1">
        <v>46261</v>
      </c>
      <c r="C12" s="2">
        <f>C4</f>
        <v>0.35416666666666669</v>
      </c>
      <c r="D12" s="3">
        <v>8</v>
      </c>
      <c r="E12" s="2">
        <f t="shared" si="1"/>
        <v>0.35972222222222222</v>
      </c>
      <c r="F12" t="s">
        <v>59</v>
      </c>
    </row>
    <row r="13" spans="1:9" x14ac:dyDescent="0.75">
      <c r="A13">
        <v>2</v>
      </c>
      <c r="B13" s="1">
        <v>46261</v>
      </c>
      <c r="C13" s="2">
        <f t="shared" si="0"/>
        <v>0.35972222222222222</v>
      </c>
      <c r="D13" s="3">
        <v>12</v>
      </c>
      <c r="E13" s="2">
        <f t="shared" si="1"/>
        <v>0.36805555555555558</v>
      </c>
      <c r="F13" t="s">
        <v>70</v>
      </c>
      <c r="H13" t="s">
        <v>61</v>
      </c>
    </row>
    <row r="14" spans="1:9" x14ac:dyDescent="0.75">
      <c r="A14">
        <v>2</v>
      </c>
      <c r="B14" s="1">
        <v>46261</v>
      </c>
      <c r="C14" s="2">
        <f t="shared" si="0"/>
        <v>0.36805555555555558</v>
      </c>
      <c r="D14" s="3">
        <v>0</v>
      </c>
      <c r="E14" s="2">
        <f t="shared" si="1"/>
        <v>0.36805555555555558</v>
      </c>
      <c r="F14" t="s">
        <v>60</v>
      </c>
      <c r="H14" t="s">
        <v>62</v>
      </c>
    </row>
    <row r="15" spans="1:9" x14ac:dyDescent="0.75">
      <c r="A15">
        <v>2</v>
      </c>
      <c r="B15" s="1">
        <v>46261</v>
      </c>
      <c r="C15" s="2">
        <f t="shared" si="0"/>
        <v>0.36805555555555558</v>
      </c>
      <c r="D15" s="3">
        <v>22</v>
      </c>
      <c r="E15" s="2">
        <f t="shared" si="1"/>
        <v>0.38333333333333336</v>
      </c>
      <c r="F15" t="s">
        <v>71</v>
      </c>
      <c r="H15" t="s">
        <v>63</v>
      </c>
    </row>
    <row r="16" spans="1:9" x14ac:dyDescent="0.75">
      <c r="A16">
        <v>2</v>
      </c>
      <c r="B16" s="1">
        <v>46261</v>
      </c>
      <c r="C16" s="2">
        <f t="shared" si="0"/>
        <v>0.38333333333333336</v>
      </c>
      <c r="D16" s="3">
        <v>22</v>
      </c>
      <c r="E16" s="2">
        <f t="shared" si="1"/>
        <v>0.39861111111111114</v>
      </c>
      <c r="F16" t="s">
        <v>72</v>
      </c>
    </row>
    <row r="17" spans="1:20" x14ac:dyDescent="0.75">
      <c r="A17">
        <v>2</v>
      </c>
      <c r="B17" s="1">
        <v>46261</v>
      </c>
      <c r="C17" s="2">
        <f t="shared" si="0"/>
        <v>0.39861111111111114</v>
      </c>
      <c r="D17" s="3">
        <v>9</v>
      </c>
      <c r="E17" s="2">
        <f t="shared" si="1"/>
        <v>0.40486111111111112</v>
      </c>
      <c r="F17" t="s">
        <v>73</v>
      </c>
    </row>
    <row r="18" spans="1:20" x14ac:dyDescent="0.75">
      <c r="B18" s="1"/>
      <c r="C18" s="2"/>
      <c r="E18" s="2"/>
    </row>
    <row r="19" spans="1:20" x14ac:dyDescent="0.75">
      <c r="A19">
        <v>3</v>
      </c>
      <c r="B19" s="1">
        <v>46266</v>
      </c>
      <c r="C19" s="2">
        <f>C12</f>
        <v>0.35416666666666669</v>
      </c>
      <c r="D19" s="3">
        <v>5</v>
      </c>
      <c r="E19" s="2">
        <f t="shared" si="1"/>
        <v>0.3576388888888889</v>
      </c>
      <c r="F19" t="s">
        <v>64</v>
      </c>
      <c r="G19" t="s">
        <v>65</v>
      </c>
      <c r="O19">
        <v>3</v>
      </c>
      <c r="P19" s="1">
        <v>46266</v>
      </c>
      <c r="Q19" s="2">
        <f>Q12</f>
        <v>0</v>
      </c>
      <c r="R19" s="3">
        <v>5</v>
      </c>
      <c r="S19" s="2">
        <f t="shared" ref="S19:S26" si="2">Q19+TIME(0,R19,0)</f>
        <v>3.472222222222222E-3</v>
      </c>
      <c r="T19" t="s">
        <v>64</v>
      </c>
    </row>
    <row r="20" spans="1:20" x14ac:dyDescent="0.75">
      <c r="A20">
        <v>3</v>
      </c>
      <c r="B20" s="1">
        <v>46266</v>
      </c>
      <c r="C20" s="2">
        <f>E19</f>
        <v>0.3576388888888889</v>
      </c>
      <c r="D20" s="3">
        <v>12</v>
      </c>
      <c r="E20" s="2">
        <f t="shared" si="1"/>
        <v>0.36597222222222225</v>
      </c>
      <c r="F20" t="s">
        <v>74</v>
      </c>
      <c r="O20">
        <v>3</v>
      </c>
      <c r="P20" s="1">
        <v>46266</v>
      </c>
      <c r="Q20" s="2">
        <f>S19</f>
        <v>3.472222222222222E-3</v>
      </c>
      <c r="R20" s="3">
        <v>12</v>
      </c>
      <c r="S20" s="2">
        <f t="shared" si="2"/>
        <v>1.1805555555555555E-2</v>
      </c>
      <c r="T20" t="s">
        <v>74</v>
      </c>
    </row>
    <row r="21" spans="1:20" x14ac:dyDescent="0.75">
      <c r="A21">
        <v>3</v>
      </c>
      <c r="B21" s="1">
        <v>46266</v>
      </c>
      <c r="C21" s="2">
        <f t="shared" ref="C21:C25" si="3">E20</f>
        <v>0.36597222222222225</v>
      </c>
      <c r="D21" s="3">
        <v>5</v>
      </c>
      <c r="E21" s="2">
        <f t="shared" si="1"/>
        <v>0.36944444444444446</v>
      </c>
      <c r="F21" t="s">
        <v>75</v>
      </c>
      <c r="O21">
        <v>3</v>
      </c>
      <c r="P21" s="1">
        <v>46266</v>
      </c>
      <c r="Q21" s="2">
        <f t="shared" ref="Q21:Q26" si="4">S20</f>
        <v>1.1805555555555555E-2</v>
      </c>
      <c r="R21" s="3">
        <v>5</v>
      </c>
      <c r="S21" s="2">
        <f t="shared" si="2"/>
        <v>1.5277777777777777E-2</v>
      </c>
      <c r="T21" t="s">
        <v>75</v>
      </c>
    </row>
    <row r="22" spans="1:20" x14ac:dyDescent="0.75">
      <c r="A22">
        <v>3</v>
      </c>
      <c r="B22" s="1">
        <v>46266</v>
      </c>
      <c r="C22" s="2">
        <f t="shared" si="3"/>
        <v>0.36944444444444446</v>
      </c>
      <c r="D22" s="3">
        <v>10</v>
      </c>
      <c r="E22" s="2">
        <f t="shared" si="1"/>
        <v>0.37638888888888888</v>
      </c>
      <c r="F22" t="s">
        <v>98</v>
      </c>
      <c r="O22">
        <v>3</v>
      </c>
      <c r="P22" s="1">
        <v>46266</v>
      </c>
      <c r="Q22" s="2">
        <f t="shared" si="4"/>
        <v>1.5277777777777777E-2</v>
      </c>
      <c r="R22" s="3">
        <v>10</v>
      </c>
      <c r="S22" s="2">
        <f t="shared" si="2"/>
        <v>2.222222222222222E-2</v>
      </c>
      <c r="T22" t="s">
        <v>76</v>
      </c>
    </row>
    <row r="23" spans="1:20" x14ac:dyDescent="0.75">
      <c r="A23">
        <v>3</v>
      </c>
      <c r="B23" s="1">
        <v>46266</v>
      </c>
      <c r="C23" s="2">
        <f t="shared" si="3"/>
        <v>0.37638888888888888</v>
      </c>
      <c r="D23" s="3">
        <v>3</v>
      </c>
      <c r="E23" s="2">
        <f t="shared" si="1"/>
        <v>0.37847222222222221</v>
      </c>
      <c r="F23" t="s">
        <v>79</v>
      </c>
      <c r="O23">
        <v>3</v>
      </c>
      <c r="P23" s="1">
        <v>46266</v>
      </c>
      <c r="Q23" s="2">
        <f t="shared" si="4"/>
        <v>2.222222222222222E-2</v>
      </c>
      <c r="R23" s="3">
        <v>15</v>
      </c>
      <c r="S23" s="2">
        <f t="shared" si="2"/>
        <v>3.2638888888888884E-2</v>
      </c>
      <c r="T23" t="s">
        <v>77</v>
      </c>
    </row>
    <row r="24" spans="1:20" x14ac:dyDescent="0.75">
      <c r="A24">
        <v>3</v>
      </c>
      <c r="B24" s="1">
        <v>46266</v>
      </c>
      <c r="C24" s="2">
        <f t="shared" si="3"/>
        <v>0.37847222222222221</v>
      </c>
      <c r="D24" s="3">
        <v>15</v>
      </c>
      <c r="E24" s="2">
        <f t="shared" si="1"/>
        <v>0.3888888888888889</v>
      </c>
      <c r="F24" t="s">
        <v>80</v>
      </c>
      <c r="O24">
        <v>3</v>
      </c>
      <c r="P24" s="1">
        <v>46266</v>
      </c>
      <c r="Q24" s="2">
        <f t="shared" si="4"/>
        <v>3.2638888888888884E-2</v>
      </c>
      <c r="R24" s="3">
        <v>3</v>
      </c>
      <c r="S24" s="2">
        <f t="shared" si="2"/>
        <v>3.4722222222222217E-2</v>
      </c>
      <c r="T24" t="s">
        <v>78</v>
      </c>
    </row>
    <row r="25" spans="1:20" x14ac:dyDescent="0.75">
      <c r="A25">
        <v>3</v>
      </c>
      <c r="B25" s="1">
        <v>46266</v>
      </c>
      <c r="C25" s="2">
        <f t="shared" si="3"/>
        <v>0.3888888888888889</v>
      </c>
      <c r="D25" s="3">
        <v>25</v>
      </c>
      <c r="E25" s="2">
        <f t="shared" si="1"/>
        <v>0.40625</v>
      </c>
      <c r="F25" t="s">
        <v>97</v>
      </c>
      <c r="O25">
        <v>3</v>
      </c>
      <c r="P25" s="1">
        <v>46266</v>
      </c>
      <c r="Q25" s="2">
        <f t="shared" si="4"/>
        <v>3.4722222222222217E-2</v>
      </c>
      <c r="R25" s="3">
        <v>10</v>
      </c>
      <c r="S25" s="2">
        <f t="shared" si="2"/>
        <v>4.1666666666666657E-2</v>
      </c>
      <c r="T25" t="s">
        <v>79</v>
      </c>
    </row>
    <row r="26" spans="1:20" x14ac:dyDescent="0.75">
      <c r="B26" s="1"/>
      <c r="C26" s="2"/>
      <c r="D26" s="3"/>
      <c r="E26" s="2"/>
      <c r="O26">
        <v>3</v>
      </c>
      <c r="P26" s="1">
        <v>46266</v>
      </c>
      <c r="Q26" s="2">
        <f t="shared" si="4"/>
        <v>4.1666666666666657E-2</v>
      </c>
      <c r="R26" s="3">
        <v>15</v>
      </c>
      <c r="S26" s="2">
        <f t="shared" si="2"/>
        <v>5.2083333333333322E-2</v>
      </c>
      <c r="T26" t="s">
        <v>80</v>
      </c>
    </row>
    <row r="27" spans="1:20" x14ac:dyDescent="0.75">
      <c r="B27" s="1"/>
      <c r="C27" s="2"/>
      <c r="D27" s="3"/>
      <c r="E27" s="2"/>
    </row>
    <row r="28" spans="1:20" x14ac:dyDescent="0.75">
      <c r="B28" s="1"/>
      <c r="C28" s="2"/>
    </row>
    <row r="29" spans="1:20" x14ac:dyDescent="0.75">
      <c r="A29">
        <v>4</v>
      </c>
      <c r="B29" s="1">
        <v>46268</v>
      </c>
      <c r="C29" s="2">
        <f>C19</f>
        <v>0.35416666666666669</v>
      </c>
      <c r="D29" s="3">
        <v>0</v>
      </c>
      <c r="E29" s="2">
        <f t="shared" si="1"/>
        <v>0.35416666666666669</v>
      </c>
      <c r="F29" t="s">
        <v>83</v>
      </c>
      <c r="H29" t="s">
        <v>86</v>
      </c>
    </row>
    <row r="30" spans="1:20" x14ac:dyDescent="0.75">
      <c r="A30">
        <v>4</v>
      </c>
      <c r="B30" s="1">
        <v>46268</v>
      </c>
      <c r="C30" s="2">
        <f>E29</f>
        <v>0.35416666666666669</v>
      </c>
      <c r="D30" s="3">
        <v>20</v>
      </c>
      <c r="E30" s="2">
        <f t="shared" si="1"/>
        <v>0.36805555555555558</v>
      </c>
      <c r="F30" t="s">
        <v>99</v>
      </c>
    </row>
    <row r="31" spans="1:20" x14ac:dyDescent="0.75">
      <c r="A31">
        <v>4</v>
      </c>
      <c r="B31" s="1">
        <v>46268</v>
      </c>
      <c r="C31" s="2">
        <f t="shared" ref="C31:C33" si="5">E30</f>
        <v>0.36805555555555558</v>
      </c>
      <c r="D31" s="3">
        <v>15</v>
      </c>
      <c r="E31" s="2">
        <f t="shared" si="1"/>
        <v>0.37847222222222227</v>
      </c>
      <c r="F31" t="s">
        <v>84</v>
      </c>
    </row>
    <row r="32" spans="1:20" x14ac:dyDescent="0.75">
      <c r="A32">
        <v>4</v>
      </c>
      <c r="B32" s="1">
        <v>46268</v>
      </c>
      <c r="C32" s="2">
        <f t="shared" si="5"/>
        <v>0.37847222222222227</v>
      </c>
      <c r="D32" s="3">
        <v>15</v>
      </c>
      <c r="E32" s="2">
        <f t="shared" si="1"/>
        <v>0.38888888888888895</v>
      </c>
      <c r="F32" t="s">
        <v>95</v>
      </c>
    </row>
    <row r="33" spans="1:8" x14ac:dyDescent="0.75">
      <c r="A33">
        <v>4</v>
      </c>
      <c r="B33" s="1">
        <v>46268</v>
      </c>
      <c r="C33" s="2">
        <f t="shared" si="5"/>
        <v>0.38888888888888895</v>
      </c>
      <c r="D33" s="3">
        <v>25</v>
      </c>
      <c r="E33" s="2">
        <f t="shared" si="1"/>
        <v>0.40625000000000006</v>
      </c>
      <c r="F33" t="s">
        <v>88</v>
      </c>
    </row>
    <row r="34" spans="1:8" x14ac:dyDescent="0.75">
      <c r="B34" s="1"/>
      <c r="C34" s="2"/>
      <c r="D34" s="3"/>
      <c r="E34" s="2"/>
    </row>
    <row r="35" spans="1:8" x14ac:dyDescent="0.75">
      <c r="B35" s="1"/>
      <c r="C35" s="2"/>
      <c r="D35" s="3"/>
      <c r="E35" s="2"/>
    </row>
    <row r="37" spans="1:8" x14ac:dyDescent="0.75">
      <c r="A37">
        <v>5</v>
      </c>
      <c r="B37" s="1">
        <f>'CourseCalendar (2)'!B6</f>
        <v>46273</v>
      </c>
      <c r="C37" s="2">
        <f>C4</f>
        <v>0.35416666666666669</v>
      </c>
      <c r="D37">
        <v>10</v>
      </c>
      <c r="E37" s="2">
        <f>C37+TIME(0,D37,0)</f>
        <v>0.3611111111111111</v>
      </c>
      <c r="F37" t="s">
        <v>89</v>
      </c>
      <c r="H37" t="s">
        <v>87</v>
      </c>
    </row>
    <row r="38" spans="1:8" x14ac:dyDescent="0.75">
      <c r="A38">
        <v>5</v>
      </c>
      <c r="B38" s="1">
        <f>B37</f>
        <v>46273</v>
      </c>
      <c r="C38" s="2">
        <f>E37</f>
        <v>0.3611111111111111</v>
      </c>
      <c r="D38">
        <v>8</v>
      </c>
      <c r="E38" s="2">
        <f t="shared" ref="E38:E42" si="6">C38+TIME(0,D38,0)</f>
        <v>0.36666666666666664</v>
      </c>
      <c r="F38" t="s">
        <v>90</v>
      </c>
    </row>
    <row r="39" spans="1:8" x14ac:dyDescent="0.75">
      <c r="A39">
        <v>5</v>
      </c>
      <c r="B39" s="1">
        <f t="shared" ref="B39:B42" si="7">B38</f>
        <v>46273</v>
      </c>
      <c r="C39" s="2">
        <f t="shared" ref="C39:C42" si="8">E38</f>
        <v>0.36666666666666664</v>
      </c>
      <c r="D39">
        <v>20</v>
      </c>
      <c r="E39" s="2">
        <f t="shared" si="6"/>
        <v>0.38055555555555554</v>
      </c>
      <c r="F39" t="s">
        <v>91</v>
      </c>
    </row>
    <row r="40" spans="1:8" x14ac:dyDescent="0.75">
      <c r="A40">
        <v>5</v>
      </c>
      <c r="B40" s="1">
        <f t="shared" si="7"/>
        <v>46273</v>
      </c>
      <c r="C40" s="2">
        <f t="shared" si="8"/>
        <v>0.38055555555555554</v>
      </c>
      <c r="D40">
        <v>10</v>
      </c>
      <c r="E40" s="2">
        <f t="shared" si="6"/>
        <v>0.38749999999999996</v>
      </c>
      <c r="F40" t="s">
        <v>92</v>
      </c>
    </row>
    <row r="41" spans="1:8" x14ac:dyDescent="0.75">
      <c r="A41">
        <v>5</v>
      </c>
      <c r="B41" s="1">
        <f t="shared" si="7"/>
        <v>46273</v>
      </c>
      <c r="C41" s="2">
        <f t="shared" si="8"/>
        <v>0.38749999999999996</v>
      </c>
      <c r="D41">
        <v>20</v>
      </c>
      <c r="E41" s="2">
        <f t="shared" si="6"/>
        <v>0.40138888888888885</v>
      </c>
      <c r="F41" t="s">
        <v>93</v>
      </c>
    </row>
    <row r="42" spans="1:8" x14ac:dyDescent="0.75">
      <c r="A42">
        <v>5</v>
      </c>
      <c r="B42" s="1">
        <f t="shared" si="7"/>
        <v>46273</v>
      </c>
      <c r="C42" s="2">
        <f t="shared" si="8"/>
        <v>0.40138888888888885</v>
      </c>
      <c r="D42">
        <v>7</v>
      </c>
      <c r="E42" s="2">
        <f t="shared" si="6"/>
        <v>0.40624999999999994</v>
      </c>
      <c r="F42" t="s">
        <v>94</v>
      </c>
    </row>
    <row r="43" spans="1:8" x14ac:dyDescent="0.75">
      <c r="B43" s="1"/>
      <c r="C43" s="2"/>
      <c r="E43" s="2"/>
    </row>
    <row r="44" spans="1:8" x14ac:dyDescent="0.75">
      <c r="A44" s="5" t="s">
        <v>100</v>
      </c>
      <c r="B44" s="5"/>
      <c r="C44" s="5"/>
      <c r="D44" s="5"/>
      <c r="E44" s="2"/>
    </row>
    <row r="45" spans="1:8" x14ac:dyDescent="0.75">
      <c r="A45" s="5" t="s">
        <v>108</v>
      </c>
      <c r="B45" s="5"/>
      <c r="C45" s="5"/>
      <c r="D45" s="5"/>
      <c r="E45" s="2"/>
    </row>
    <row r="46" spans="1:8" x14ac:dyDescent="0.75">
      <c r="A46" t="s">
        <v>102</v>
      </c>
      <c r="B46" t="s">
        <v>103</v>
      </c>
      <c r="C46" t="s">
        <v>52</v>
      </c>
      <c r="D46" t="s">
        <v>2</v>
      </c>
      <c r="E46" s="2"/>
    </row>
    <row r="47" spans="1:8" x14ac:dyDescent="0.75">
      <c r="A47" s="2">
        <v>0.35416666666666669</v>
      </c>
      <c r="B47">
        <v>10</v>
      </c>
      <c r="C47" s="2">
        <f>A47+TIME(0,B47,0)</f>
        <v>0.3611111111111111</v>
      </c>
      <c r="D47" t="s">
        <v>89</v>
      </c>
      <c r="E47" s="2"/>
    </row>
    <row r="48" spans="1:8" x14ac:dyDescent="0.75">
      <c r="A48" s="2">
        <f>C47</f>
        <v>0.3611111111111111</v>
      </c>
      <c r="B48">
        <v>8</v>
      </c>
      <c r="C48" s="2">
        <f t="shared" ref="C48:C52" si="9">A48+TIME(0,B48,0)</f>
        <v>0.36666666666666664</v>
      </c>
      <c r="D48" t="s">
        <v>90</v>
      </c>
      <c r="E48" s="2"/>
    </row>
    <row r="49" spans="1:5" x14ac:dyDescent="0.75">
      <c r="A49" s="2">
        <f t="shared" ref="A49:A52" si="10">C48</f>
        <v>0.36666666666666664</v>
      </c>
      <c r="B49">
        <v>20</v>
      </c>
      <c r="C49" s="2">
        <f t="shared" si="9"/>
        <v>0.38055555555555554</v>
      </c>
      <c r="D49" t="s">
        <v>91</v>
      </c>
      <c r="E49" s="2"/>
    </row>
    <row r="50" spans="1:5" x14ac:dyDescent="0.75">
      <c r="A50" s="2">
        <f t="shared" si="10"/>
        <v>0.38055555555555554</v>
      </c>
      <c r="B50">
        <v>10</v>
      </c>
      <c r="C50" s="2">
        <f t="shared" si="9"/>
        <v>0.38749999999999996</v>
      </c>
      <c r="D50" t="s">
        <v>92</v>
      </c>
      <c r="E50" s="2"/>
    </row>
    <row r="51" spans="1:5" x14ac:dyDescent="0.75">
      <c r="A51" s="2">
        <f t="shared" si="10"/>
        <v>0.38749999999999996</v>
      </c>
      <c r="B51">
        <v>20</v>
      </c>
      <c r="C51" s="2">
        <f t="shared" si="9"/>
        <v>0.40138888888888885</v>
      </c>
      <c r="D51" t="s">
        <v>93</v>
      </c>
      <c r="E51" s="2"/>
    </row>
    <row r="52" spans="1:5" x14ac:dyDescent="0.75">
      <c r="A52" s="2">
        <f t="shared" si="10"/>
        <v>0.40138888888888885</v>
      </c>
      <c r="B52">
        <v>7</v>
      </c>
      <c r="C52" s="2">
        <f t="shared" si="9"/>
        <v>0.40624999999999994</v>
      </c>
      <c r="D52" t="s">
        <v>94</v>
      </c>
      <c r="E52" s="2"/>
    </row>
    <row r="55" spans="1:5" x14ac:dyDescent="0.75">
      <c r="A55" s="5" t="s">
        <v>100</v>
      </c>
      <c r="B55" s="5"/>
      <c r="C55" s="5"/>
      <c r="D55" s="5"/>
      <c r="E55" s="5"/>
    </row>
    <row r="56" spans="1:5" x14ac:dyDescent="0.75">
      <c r="A56" s="5" t="s">
        <v>101</v>
      </c>
      <c r="B56" s="5"/>
      <c r="C56" s="5"/>
      <c r="D56" s="5"/>
      <c r="E56" s="5"/>
    </row>
    <row r="57" spans="1:5" x14ac:dyDescent="0.75">
      <c r="A57" t="s">
        <v>102</v>
      </c>
      <c r="B57" t="s">
        <v>103</v>
      </c>
      <c r="C57" t="s">
        <v>52</v>
      </c>
      <c r="D57" t="s">
        <v>2</v>
      </c>
    </row>
    <row r="58" spans="1:5" x14ac:dyDescent="0.75">
      <c r="A58" s="2">
        <v>0.35416666666666669</v>
      </c>
      <c r="B58">
        <v>2</v>
      </c>
      <c r="C58" s="2">
        <f>A58+TIME(0,B58,0)</f>
        <v>0.35555555555555557</v>
      </c>
      <c r="D58" t="s">
        <v>104</v>
      </c>
    </row>
    <row r="59" spans="1:5" x14ac:dyDescent="0.75">
      <c r="A59" s="2">
        <f>C58</f>
        <v>0.35555555555555557</v>
      </c>
      <c r="B59">
        <v>15</v>
      </c>
      <c r="C59" s="2">
        <f t="shared" ref="C59:C67" si="11">A59+TIME(0,B59,0)</f>
        <v>0.36597222222222225</v>
      </c>
      <c r="D59" t="s">
        <v>105</v>
      </c>
    </row>
    <row r="60" spans="1:5" x14ac:dyDescent="0.75">
      <c r="A60" s="2">
        <f t="shared" ref="A60:A67" si="12">C59</f>
        <v>0.36597222222222225</v>
      </c>
      <c r="B60">
        <v>8</v>
      </c>
      <c r="C60" s="2">
        <f t="shared" si="11"/>
        <v>0.37152777777777779</v>
      </c>
      <c r="D60" t="s">
        <v>106</v>
      </c>
    </row>
    <row r="61" spans="1:5" x14ac:dyDescent="0.75">
      <c r="A61" s="2">
        <f t="shared" si="12"/>
        <v>0.37152777777777779</v>
      </c>
      <c r="B61">
        <v>45</v>
      </c>
      <c r="C61" s="2">
        <f t="shared" si="11"/>
        <v>0.40277777777777779</v>
      </c>
      <c r="D61" t="s">
        <v>107</v>
      </c>
    </row>
    <row r="62" spans="1:5" x14ac:dyDescent="0.75">
      <c r="A62" s="2">
        <f t="shared" si="12"/>
        <v>0.40277777777777779</v>
      </c>
      <c r="C62" s="2">
        <f t="shared" si="11"/>
        <v>0.40277777777777779</v>
      </c>
    </row>
    <row r="63" spans="1:5" x14ac:dyDescent="0.75">
      <c r="A63" s="2">
        <f t="shared" si="12"/>
        <v>0.40277777777777779</v>
      </c>
      <c r="C63" s="2">
        <f t="shared" si="11"/>
        <v>0.40277777777777779</v>
      </c>
    </row>
    <row r="64" spans="1:5" x14ac:dyDescent="0.75">
      <c r="A64" s="2">
        <f t="shared" si="12"/>
        <v>0.40277777777777779</v>
      </c>
      <c r="C64" s="2">
        <f t="shared" si="11"/>
        <v>0.40277777777777779</v>
      </c>
    </row>
    <row r="65" spans="1:3" x14ac:dyDescent="0.75">
      <c r="A65" s="2">
        <f t="shared" si="12"/>
        <v>0.40277777777777779</v>
      </c>
      <c r="C65" s="2">
        <f t="shared" si="11"/>
        <v>0.40277777777777779</v>
      </c>
    </row>
    <row r="66" spans="1:3" x14ac:dyDescent="0.75">
      <c r="A66" s="2">
        <f t="shared" si="12"/>
        <v>0.40277777777777779</v>
      </c>
      <c r="C66" s="2">
        <f t="shared" si="11"/>
        <v>0.40277777777777779</v>
      </c>
    </row>
    <row r="67" spans="1:3" x14ac:dyDescent="0.75">
      <c r="A67" s="2">
        <f t="shared" si="12"/>
        <v>0.40277777777777779</v>
      </c>
      <c r="C67" s="2">
        <f t="shared" si="11"/>
        <v>0.40277777777777779</v>
      </c>
    </row>
  </sheetData>
  <pageMargins left="0.7" right="0.7" top="0.75" bottom="0.75" header="0.3" footer="0.3"/>
  <pageSetup scale="59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CourseCalendar (4)</vt:lpstr>
      <vt:lpstr>CourseCalendar (3)</vt:lpstr>
      <vt:lpstr>CourseCalendar (2)</vt:lpstr>
      <vt:lpstr>CourseCalendar</vt:lpstr>
      <vt:lpstr>LessonPlanSchedule</vt:lpstr>
    </vt:vector>
  </TitlesOfParts>
  <Company>Duke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Aguilar</dc:creator>
  <cp:lastModifiedBy>Mike Aguilar</cp:lastModifiedBy>
  <cp:lastPrinted>2026-08-31T19:30:21Z</cp:lastPrinted>
  <dcterms:created xsi:type="dcterms:W3CDTF">2026-07-21T13:31:57Z</dcterms:created>
  <dcterms:modified xsi:type="dcterms:W3CDTF">2026-09-03T14:01:33Z</dcterms:modified>
</cp:coreProperties>
</file>