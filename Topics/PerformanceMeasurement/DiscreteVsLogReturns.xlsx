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3\Documents\Repos\MLFF-Fall2026-Instructor\Topics\PerformanceMeasurement\"/>
    </mc:Choice>
  </mc:AlternateContent>
  <xr:revisionPtr revIDLastSave="0" documentId="13_ncr:1_{8E4B295D-88EC-4F71-824D-775B055C59B9}" xr6:coauthVersionLast="47" xr6:coauthVersionMax="47" xr10:uidLastSave="{00000000-0000-0000-0000-000000000000}"/>
  <bookViews>
    <workbookView xWindow="-110" yWindow="-110" windowWidth="38620" windowHeight="21100" xr2:uid="{C31C2333-CD63-4806-BCF9-F76094D1C6B8}"/>
  </bookViews>
  <sheets>
    <sheet name="Dem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9" i="4" l="1"/>
  <c r="H48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M76" i="4" s="1"/>
  <c r="H79" i="4"/>
  <c r="M75" i="4" s="1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M74" i="4"/>
  <c r="I74" i="4"/>
  <c r="L76" i="4" s="1"/>
  <c r="H74" i="4"/>
  <c r="L75" i="4" s="1"/>
  <c r="G74" i="4"/>
  <c r="L74" i="4" s="1"/>
  <c r="C25" i="4"/>
  <c r="D25" i="4" s="1"/>
  <c r="C24" i="4"/>
  <c r="D24" i="4" s="1"/>
  <c r="C23" i="4"/>
  <c r="D23" i="4" s="1"/>
  <c r="C22" i="4"/>
  <c r="D22" i="4" s="1"/>
  <c r="C21" i="4"/>
  <c r="D21" i="4" s="1"/>
  <c r="E20" i="4"/>
  <c r="G49" i="4"/>
  <c r="C49" i="4"/>
  <c r="F48" i="4"/>
  <c r="B48" i="4"/>
  <c r="B49" i="4" s="1"/>
  <c r="B41" i="4"/>
  <c r="B40" i="4"/>
  <c r="C37" i="4"/>
  <c r="D37" i="4" s="1"/>
  <c r="E37" i="4" s="1"/>
  <c r="F37" i="4" s="1"/>
  <c r="C36" i="4"/>
  <c r="D36" i="4" s="1"/>
  <c r="E36" i="4" s="1"/>
  <c r="F36" i="4" s="1"/>
  <c r="C35" i="4"/>
  <c r="C34" i="4"/>
  <c r="D34" i="4" s="1"/>
  <c r="E34" i="4" s="1"/>
  <c r="F34" i="4" s="1"/>
  <c r="C33" i="4"/>
  <c r="D33" i="4" s="1"/>
  <c r="E21" i="4" l="1"/>
  <c r="E22" i="4" s="1"/>
  <c r="E23" i="4" s="1"/>
  <c r="E24" i="4" s="1"/>
  <c r="E25" i="4" s="1"/>
  <c r="F20" i="4"/>
  <c r="F21" i="4" s="1"/>
  <c r="F22" i="4" s="1"/>
  <c r="F23" i="4" s="1"/>
  <c r="F24" i="4" s="1"/>
  <c r="F25" i="4" s="1"/>
  <c r="C38" i="4"/>
  <c r="F49" i="4"/>
  <c r="E33" i="4"/>
  <c r="D35" i="4"/>
  <c r="E35" i="4" s="1"/>
  <c r="F35" i="4" s="1"/>
  <c r="F33" i="4" l="1"/>
  <c r="E38" i="4"/>
  <c r="F42" i="4"/>
  <c r="D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Aguilar</author>
  </authors>
  <commentList>
    <comment ref="E25" authorId="0" shapeId="0" xr:uid="{0C74E8F7-9973-4AEA-B642-9520D098677B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Discrete returns recreat the wealth process</t>
        </r>
      </text>
    </comment>
    <comment ref="F25" authorId="0" shapeId="0" xr:uid="{258805EA-D814-42BE-9B51-73F6CBF1BC97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Log returns don't recreate the wealth process
</t>
        </r>
      </text>
    </comment>
    <comment ref="F33" authorId="0" shapeId="0" xr:uid="{404018E7-3B41-406C-92DD-186CAA936D9E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Convert from daily log to daily discrete </t>
        </r>
      </text>
    </comment>
    <comment ref="C38" authorId="0" shapeId="0" xr:uid="{1BA5AD87-757C-49C7-A7F2-2384DD2288E3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Sum of daily discrete not equal to weekly discrete</t>
        </r>
      </text>
    </comment>
    <comment ref="E38" authorId="0" shapeId="0" xr:uid="{27B9C154-DAD9-4799-9038-072108602D99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Sum of daily log = log weekly </t>
        </r>
      </text>
    </comment>
    <comment ref="D39" authorId="0" shapeId="0" xr:uid="{4C97497D-2D6D-45D4-B3EB-2B61E0739D2B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Product of GROSS daily discrete equal weekly discrete</t>
        </r>
      </text>
    </comment>
    <comment ref="B41" authorId="0" shapeId="0" xr:uid="{C5E25696-349D-4E97-A3FA-562A9ECE555E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Log weekly returns not equal to discrete weekly returns
</t>
        </r>
      </text>
    </comment>
    <comment ref="F42" authorId="0" shapeId="0" xr:uid="{9E2C1A03-0E2C-4EDE-ADEC-6779783FE39D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Convert from daily log to weekly discrete
</t>
        </r>
      </text>
    </comment>
    <comment ref="B49" authorId="0" shapeId="0" xr:uid="{0077D3C0-8377-452D-922F-56576A63354C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20% rise in discrete returns followed by 20% fall does not return you back to starting wealth
</t>
        </r>
      </text>
    </comment>
    <comment ref="F49" authorId="0" shapeId="0" xr:uid="{64D14DC7-6A9D-4EF9-B009-F77199A4C555}">
      <text>
        <r>
          <rPr>
            <b/>
            <sz val="9"/>
            <color indexed="81"/>
            <rFont val="Tahoma"/>
            <family val="2"/>
          </rPr>
          <t>Mike Aguilar:</t>
        </r>
        <r>
          <rPr>
            <sz val="9"/>
            <color indexed="81"/>
            <rFont val="Tahoma"/>
            <family val="2"/>
          </rPr>
          <t xml:space="preserve">
20% rise in log returns followed by 20% fall restores initial wealth
</t>
        </r>
      </text>
    </comment>
  </commentList>
</comments>
</file>

<file path=xl/sharedStrings.xml><?xml version="1.0" encoding="utf-8"?>
<sst xmlns="http://schemas.openxmlformats.org/spreadsheetml/2006/main" count="32" uniqueCount="19">
  <si>
    <t>Paths</t>
  </si>
  <si>
    <t>Days</t>
  </si>
  <si>
    <t>Week</t>
  </si>
  <si>
    <t>Path</t>
  </si>
  <si>
    <t>R</t>
  </si>
  <si>
    <t>1+R</t>
  </si>
  <si>
    <t>r</t>
  </si>
  <si>
    <t>R via r</t>
  </si>
  <si>
    <t>Daily Log Returns (scaled in decimal)</t>
  </si>
  <si>
    <t xml:space="preserve">Daily Log Returns (from Data Generation Tool) </t>
  </si>
  <si>
    <t>Weekly Returns</t>
  </si>
  <si>
    <t>Wealth</t>
  </si>
  <si>
    <t>Sum</t>
  </si>
  <si>
    <t>Product</t>
  </si>
  <si>
    <t>Discrete Total Return</t>
  </si>
  <si>
    <t>Log Total Return</t>
  </si>
  <si>
    <t>Recreate Wealth</t>
  </si>
  <si>
    <t>via R</t>
  </si>
  <si>
    <t>via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</si>
</sst>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23811</xdr:rowOff>
    </xdr:from>
    <xdr:to>
      <xdr:col>10</xdr:col>
      <xdr:colOff>533400</xdr:colOff>
      <xdr:row>12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E54E80-9BB3-4F63-8662-B95511394D93}"/>
            </a:ext>
          </a:extLst>
        </xdr:cNvPr>
        <xdr:cNvSpPr txBox="1"/>
      </xdr:nvSpPr>
      <xdr:spPr>
        <a:xfrm>
          <a:off x="0" y="23811"/>
          <a:ext cx="7315200" cy="2357439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Use Discrete Returns </a:t>
          </a:r>
          <a:r>
            <a:rPr lang="en-US" sz="1100" baseline="0"/>
            <a:t>for performance reporting</a:t>
          </a:r>
        </a:p>
        <a:p>
          <a:r>
            <a:rPr lang="en-US" sz="1100" baseline="0"/>
            <a:t>2. Use log returns for modeling</a:t>
          </a:r>
        </a:p>
        <a:p>
          <a:endParaRPr lang="en-US" sz="1100" baseline="0"/>
        </a:p>
        <a:p>
          <a:r>
            <a:rPr lang="en-US" sz="1100" baseline="0"/>
            <a:t>Simple: R_t = V_t / V_t-1 - 1 </a:t>
          </a:r>
        </a:p>
        <a:p>
          <a:r>
            <a:rPr lang="en-US" sz="1100" baseline="0"/>
            <a:t>Log: r_t = ln(V_t / V_t-1) </a:t>
          </a:r>
        </a:p>
        <a:p>
          <a:endParaRPr lang="en-US" sz="1100" baseline="0"/>
        </a:p>
        <a:p>
          <a:r>
            <a:rPr lang="en-US" sz="1100"/>
            <a:t>Convert</a:t>
          </a:r>
          <a:r>
            <a:rPr lang="en-US" sz="1100" baseline="0"/>
            <a:t> simple to log:  r = ln(1+R)</a:t>
          </a:r>
        </a:p>
        <a:p>
          <a:r>
            <a:rPr lang="en-US" sz="1100" baseline="0"/>
            <a:t>Convert log to simple: R = exp(r) - 1 </a:t>
          </a:r>
        </a:p>
        <a:p>
          <a:endParaRPr lang="en-US" sz="1100" baseline="0"/>
        </a:p>
        <a:p>
          <a:r>
            <a:rPr lang="en-US" sz="1100" baseline="0"/>
            <a:t>Log returns for modeling because they have properties that are more like Gaussian: </a:t>
          </a:r>
        </a:p>
        <a:p>
          <a:r>
            <a:rPr lang="en-US" sz="1100" baseline="0"/>
            <a:t>i) symmetric (e.g. 10% log return followed by -10% log return gets you back to starting wealth)</a:t>
          </a:r>
        </a:p>
        <a:p>
          <a:r>
            <a:rPr lang="en-US" sz="1100" baseline="0"/>
            <a:t>ii) time additive (i.e. log of week's returns is the sum of daily log returns)</a:t>
          </a:r>
          <a:endParaRPr lang="en-US" sz="1100"/>
        </a:p>
      </xdr:txBody>
    </xdr:sp>
    <xdr:clientData/>
  </xdr:twoCellAnchor>
  <xdr:twoCellAnchor>
    <xdr:from>
      <xdr:col>0</xdr:col>
      <xdr:colOff>0</xdr:colOff>
      <xdr:row>43</xdr:row>
      <xdr:rowOff>66675</xdr:rowOff>
    </xdr:from>
    <xdr:to>
      <xdr:col>8</xdr:col>
      <xdr:colOff>66675</xdr:colOff>
      <xdr:row>44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B458DB-B5EE-4FAA-8401-0123FF2A0273}"/>
            </a:ext>
          </a:extLst>
        </xdr:cNvPr>
        <xdr:cNvSpPr txBox="1"/>
      </xdr:nvSpPr>
      <xdr:spPr>
        <a:xfrm>
          <a:off x="0" y="5781675"/>
          <a:ext cx="5629275" cy="2857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 Returns are symmetric</a:t>
          </a:r>
        </a:p>
      </xdr:txBody>
    </xdr:sp>
    <xdr:clientData/>
  </xdr:twoCellAnchor>
  <xdr:twoCellAnchor>
    <xdr:from>
      <xdr:col>0</xdr:col>
      <xdr:colOff>0</xdr:colOff>
      <xdr:row>27</xdr:row>
      <xdr:rowOff>104775</xdr:rowOff>
    </xdr:from>
    <xdr:to>
      <xdr:col>8</xdr:col>
      <xdr:colOff>66675</xdr:colOff>
      <xdr:row>29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E136DB-09CC-4B53-B63D-39A00500F3BD}"/>
            </a:ext>
          </a:extLst>
        </xdr:cNvPr>
        <xdr:cNvSpPr txBox="1"/>
      </xdr:nvSpPr>
      <xdr:spPr>
        <a:xfrm>
          <a:off x="0" y="2771775"/>
          <a:ext cx="5629275" cy="2857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Log Returns are additive</a:t>
          </a: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8</xdr:col>
      <xdr:colOff>66675</xdr:colOff>
      <xdr:row>16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8DE7F10-8588-4F36-B5F5-1999BCA5D6DD}"/>
            </a:ext>
          </a:extLst>
        </xdr:cNvPr>
        <xdr:cNvSpPr txBox="1"/>
      </xdr:nvSpPr>
      <xdr:spPr>
        <a:xfrm>
          <a:off x="0" y="7048500"/>
          <a:ext cx="5629275" cy="2857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</a:t>
          </a:r>
          <a:r>
            <a:rPr lang="en-US" sz="1100" baseline="0"/>
            <a:t> Discrete Returns for Performance Reporting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40718</xdr:colOff>
      <xdr:row>51</xdr:row>
      <xdr:rowOff>123825</xdr:rowOff>
    </xdr:from>
    <xdr:to>
      <xdr:col>10</xdr:col>
      <xdr:colOff>177488</xdr:colOff>
      <xdr:row>67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273023-9FAD-46BF-8E04-365C820A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18" y="9839325"/>
          <a:ext cx="6874777" cy="307657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50</xdr:row>
      <xdr:rowOff>0</xdr:rowOff>
    </xdr:from>
    <xdr:ext cx="316336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3567D8-45D5-4FC2-8B9F-CBEBB967F7E5}"/>
            </a:ext>
          </a:extLst>
        </xdr:cNvPr>
        <xdr:cNvSpPr txBox="1"/>
      </xdr:nvSpPr>
      <xdr:spPr>
        <a:xfrm>
          <a:off x="0" y="9196552"/>
          <a:ext cx="3163366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 a coding exercise, we</a:t>
          </a:r>
          <a:r>
            <a:rPr lang="en-US" sz="1100" baseline="0"/>
            <a:t> might do something like this: </a:t>
          </a:r>
          <a:endParaRPr lang="en-US" sz="1100"/>
        </a:p>
      </xdr:txBody>
    </xdr:sp>
    <xdr:clientData/>
  </xdr:oneCellAnchor>
  <xdr:oneCellAnchor>
    <xdr:from>
      <xdr:col>0</xdr:col>
      <xdr:colOff>0</xdr:colOff>
      <xdr:row>67</xdr:row>
      <xdr:rowOff>133350</xdr:rowOff>
    </xdr:from>
    <xdr:ext cx="390119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8548A-B888-489E-9B98-B83CB7DA2CA2}"/>
            </a:ext>
          </a:extLst>
        </xdr:cNvPr>
        <xdr:cNvSpPr txBox="1"/>
      </xdr:nvSpPr>
      <xdr:spPr>
        <a:xfrm>
          <a:off x="0" y="12896850"/>
          <a:ext cx="3901196" cy="264560"/>
        </a:xfrm>
        <a:prstGeom prst="rect">
          <a:avLst/>
        </a:prstGeom>
        <a:solidFill>
          <a:srgbClr val="FFC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Let's verify</a:t>
          </a:r>
          <a:r>
            <a:rPr lang="en-US" sz="1100" baseline="0"/>
            <a:t> in a small scale, going from days to weeks over 3 paths.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AB88-47CF-4588-A5B2-C2889B9313AD}">
  <dimension ref="A18:M83"/>
  <sheetViews>
    <sheetView tabSelected="1" zoomScale="145" zoomScaleNormal="145" workbookViewId="0">
      <selection activeCell="M76" sqref="M76"/>
    </sheetView>
  </sheetViews>
  <sheetFormatPr defaultRowHeight="14.5" x14ac:dyDescent="0.35"/>
  <cols>
    <col min="1" max="1" width="19.453125" bestFit="1" customWidth="1"/>
    <col min="8" max="8" width="8.08984375" customWidth="1"/>
  </cols>
  <sheetData>
    <row r="18" spans="1:6" x14ac:dyDescent="0.35">
      <c r="E18" t="s">
        <v>16</v>
      </c>
    </row>
    <row r="19" spans="1:6" x14ac:dyDescent="0.35">
      <c r="A19" t="s">
        <v>1</v>
      </c>
      <c r="B19" t="s">
        <v>11</v>
      </c>
      <c r="C19" t="s">
        <v>4</v>
      </c>
      <c r="D19" t="s">
        <v>6</v>
      </c>
      <c r="E19" t="s">
        <v>17</v>
      </c>
      <c r="F19" t="s">
        <v>18</v>
      </c>
    </row>
    <row r="20" spans="1:6" x14ac:dyDescent="0.35">
      <c r="A20">
        <v>0</v>
      </c>
      <c r="B20" s="1">
        <v>100</v>
      </c>
      <c r="E20">
        <f>B20</f>
        <v>100</v>
      </c>
      <c r="F20">
        <f>E20</f>
        <v>100</v>
      </c>
    </row>
    <row r="21" spans="1:6" x14ac:dyDescent="0.35">
      <c r="A21">
        <v>1</v>
      </c>
      <c r="B21" s="1">
        <v>101</v>
      </c>
      <c r="C21">
        <f>B21/B20-1</f>
        <v>1.0000000000000009E-2</v>
      </c>
      <c r="D21">
        <f>LN(1+C21)</f>
        <v>9.950330853168092E-3</v>
      </c>
      <c r="E21">
        <f>E20*(1+C21)</f>
        <v>101</v>
      </c>
      <c r="F21">
        <f>F20*(1+D21)</f>
        <v>100.99503308531681</v>
      </c>
    </row>
    <row r="22" spans="1:6" x14ac:dyDescent="0.35">
      <c r="A22">
        <v>2</v>
      </c>
      <c r="B22" s="1">
        <v>98.5</v>
      </c>
      <c r="C22">
        <f>B22/B21-1</f>
        <v>-2.4752475247524774E-2</v>
      </c>
      <c r="D22">
        <f t="shared" ref="D22:D25" si="0">LN(1+C22)</f>
        <v>-2.5063968663216276E-2</v>
      </c>
      <c r="E22">
        <f t="shared" ref="E22:E25" si="1">E21*(1+C22)</f>
        <v>98.5</v>
      </c>
      <c r="F22">
        <f t="shared" ref="F22:F25" si="2">F21*(1+D22)</f>
        <v>98.46369674092594</v>
      </c>
    </row>
    <row r="23" spans="1:6" x14ac:dyDescent="0.35">
      <c r="A23">
        <v>3</v>
      </c>
      <c r="B23" s="1">
        <v>99.75</v>
      </c>
      <c r="C23">
        <f t="shared" ref="C23:C25" si="3">B23/B22-1</f>
        <v>1.2690355329949332E-2</v>
      </c>
      <c r="D23">
        <f t="shared" si="0"/>
        <v>1.2610507591929733E-2</v>
      </c>
      <c r="E23">
        <f t="shared" si="1"/>
        <v>99.750000000000014</v>
      </c>
      <c r="F23">
        <f t="shared" si="2"/>
        <v>99.705373936206868</v>
      </c>
    </row>
    <row r="24" spans="1:6" x14ac:dyDescent="0.35">
      <c r="A24">
        <v>4</v>
      </c>
      <c r="B24" s="1">
        <v>98.5</v>
      </c>
      <c r="C24">
        <f t="shared" si="3"/>
        <v>-1.253132832080206E-2</v>
      </c>
      <c r="D24">
        <f t="shared" si="0"/>
        <v>-1.2610507591929696E-2</v>
      </c>
      <c r="E24">
        <f t="shared" si="1"/>
        <v>98.500000000000014</v>
      </c>
      <c r="F24">
        <f t="shared" si="2"/>
        <v>98.448038561228145</v>
      </c>
    </row>
    <row r="25" spans="1:6" x14ac:dyDescent="0.35">
      <c r="A25">
        <v>5</v>
      </c>
      <c r="B25" s="1">
        <v>100.5</v>
      </c>
      <c r="C25">
        <f t="shared" si="3"/>
        <v>2.0304568527918843E-2</v>
      </c>
      <c r="D25">
        <f t="shared" si="0"/>
        <v>2.0101179321087303E-2</v>
      </c>
      <c r="E25">
        <f t="shared" si="1"/>
        <v>100.50000000000001</v>
      </c>
      <c r="F25">
        <f t="shared" si="2"/>
        <v>100.42696023815671</v>
      </c>
    </row>
    <row r="31" spans="1:6" x14ac:dyDescent="0.35">
      <c r="A31" t="s">
        <v>1</v>
      </c>
      <c r="B31" t="s">
        <v>11</v>
      </c>
      <c r="C31" t="s">
        <v>4</v>
      </c>
      <c r="D31" t="s">
        <v>5</v>
      </c>
      <c r="E31" t="s">
        <v>6</v>
      </c>
      <c r="F31" t="s">
        <v>7</v>
      </c>
    </row>
    <row r="32" spans="1:6" x14ac:dyDescent="0.35">
      <c r="A32">
        <v>0</v>
      </c>
      <c r="B32" s="1">
        <v>100</v>
      </c>
    </row>
    <row r="33" spans="1:8" x14ac:dyDescent="0.35">
      <c r="A33">
        <v>1</v>
      </c>
      <c r="B33" s="1">
        <v>101</v>
      </c>
      <c r="C33">
        <f>B33/B32-1</f>
        <v>1.0000000000000009E-2</v>
      </c>
      <c r="D33">
        <f>1+C33</f>
        <v>1.01</v>
      </c>
      <c r="E33">
        <f>LN(D33)</f>
        <v>9.950330853168092E-3</v>
      </c>
      <c r="F33">
        <f>EXP(E33)-1</f>
        <v>1.0000000000000009E-2</v>
      </c>
    </row>
    <row r="34" spans="1:8" x14ac:dyDescent="0.35">
      <c r="A34">
        <v>2</v>
      </c>
      <c r="B34" s="1">
        <v>98.5</v>
      </c>
      <c r="C34">
        <f>B34/B33-1</f>
        <v>-2.4752475247524774E-2</v>
      </c>
      <c r="D34">
        <f t="shared" ref="D34:D37" si="4">1+C34</f>
        <v>0.97524752475247523</v>
      </c>
      <c r="E34">
        <f t="shared" ref="E34:E37" si="5">LN(D34)</f>
        <v>-2.5063968663216276E-2</v>
      </c>
      <c r="F34">
        <f t="shared" ref="F34:F37" si="6">EXP(E34)-1</f>
        <v>-2.4752475247524774E-2</v>
      </c>
    </row>
    <row r="35" spans="1:8" x14ac:dyDescent="0.35">
      <c r="A35">
        <v>3</v>
      </c>
      <c r="B35" s="1">
        <v>99.75</v>
      </c>
      <c r="C35">
        <f t="shared" ref="C35:C37" si="7">B35/B34-1</f>
        <v>1.2690355329949332E-2</v>
      </c>
      <c r="D35">
        <f t="shared" si="4"/>
        <v>1.0126903553299493</v>
      </c>
      <c r="E35">
        <f t="shared" si="5"/>
        <v>1.2610507591929733E-2</v>
      </c>
      <c r="F35">
        <f t="shared" si="6"/>
        <v>1.2690355329949332E-2</v>
      </c>
    </row>
    <row r="36" spans="1:8" x14ac:dyDescent="0.35">
      <c r="A36">
        <v>4</v>
      </c>
      <c r="B36" s="1">
        <v>98.5</v>
      </c>
      <c r="C36">
        <f t="shared" si="7"/>
        <v>-1.253132832080206E-2</v>
      </c>
      <c r="D36">
        <f t="shared" si="4"/>
        <v>0.98746867167919794</v>
      </c>
      <c r="E36">
        <f t="shared" si="5"/>
        <v>-1.2610507591929696E-2</v>
      </c>
      <c r="F36">
        <f t="shared" si="6"/>
        <v>-1.253132832080206E-2</v>
      </c>
    </row>
    <row r="37" spans="1:8" x14ac:dyDescent="0.35">
      <c r="A37">
        <v>5</v>
      </c>
      <c r="B37" s="1">
        <v>100.5</v>
      </c>
      <c r="C37">
        <f t="shared" si="7"/>
        <v>2.0304568527918843E-2</v>
      </c>
      <c r="D37">
        <f t="shared" si="4"/>
        <v>1.0203045685279188</v>
      </c>
      <c r="E37">
        <f t="shared" si="5"/>
        <v>2.0101179321087303E-2</v>
      </c>
      <c r="F37">
        <f t="shared" si="6"/>
        <v>2.0304568527918843E-2</v>
      </c>
    </row>
    <row r="38" spans="1:8" x14ac:dyDescent="0.35">
      <c r="A38" s="2" t="s">
        <v>12</v>
      </c>
      <c r="B38" s="3"/>
      <c r="C38" s="2">
        <f>SUM(C33:C37)</f>
        <v>5.7111202895413493E-3</v>
      </c>
      <c r="D38" s="2"/>
      <c r="E38" s="2">
        <f>SUM(E33:E37)</f>
        <v>4.9875415110391553E-3</v>
      </c>
      <c r="F38" s="2"/>
    </row>
    <row r="39" spans="1:8" x14ac:dyDescent="0.35">
      <c r="A39" t="s">
        <v>13</v>
      </c>
      <c r="B39" s="1"/>
      <c r="D39">
        <f>PRODUCT(D33:D37)-1</f>
        <v>5.0000000000001155E-3</v>
      </c>
    </row>
    <row r="40" spans="1:8" x14ac:dyDescent="0.35">
      <c r="A40" t="s">
        <v>14</v>
      </c>
      <c r="B40">
        <f>B37/B32-1</f>
        <v>4.9999999999998934E-3</v>
      </c>
    </row>
    <row r="41" spans="1:8" x14ac:dyDescent="0.35">
      <c r="A41" t="s">
        <v>15</v>
      </c>
      <c r="B41">
        <f>LN(B37/B32)</f>
        <v>4.9875415110389679E-3</v>
      </c>
    </row>
    <row r="42" spans="1:8" x14ac:dyDescent="0.35">
      <c r="F42">
        <f>EXP(SUM(E33:E37))-1</f>
        <v>5.0000000000001155E-3</v>
      </c>
    </row>
    <row r="46" spans="1:8" x14ac:dyDescent="0.35">
      <c r="A46" t="s">
        <v>1</v>
      </c>
      <c r="B46" t="s">
        <v>11</v>
      </c>
      <c r="C46" t="s">
        <v>4</v>
      </c>
      <c r="F46" t="s">
        <v>11</v>
      </c>
      <c r="G46" t="s">
        <v>6</v>
      </c>
      <c r="H46" t="s">
        <v>4</v>
      </c>
    </row>
    <row r="47" spans="1:8" x14ac:dyDescent="0.35">
      <c r="A47">
        <v>0</v>
      </c>
      <c r="B47" s="1">
        <v>100</v>
      </c>
      <c r="F47" s="1">
        <v>100</v>
      </c>
    </row>
    <row r="48" spans="1:8" x14ac:dyDescent="0.35">
      <c r="A48">
        <v>1</v>
      </c>
      <c r="B48" s="4">
        <f>B47*(1+C48)</f>
        <v>120</v>
      </c>
      <c r="C48" s="1">
        <v>0.2</v>
      </c>
      <c r="F48" s="4">
        <f>EXP(G48)*F47</f>
        <v>122.14027581601698</v>
      </c>
      <c r="G48" s="1">
        <v>0.2</v>
      </c>
      <c r="H48" s="5">
        <f>EXP(G48)-1</f>
        <v>0.22140275816016985</v>
      </c>
    </row>
    <row r="49" spans="1:8" x14ac:dyDescent="0.35">
      <c r="A49">
        <v>2</v>
      </c>
      <c r="B49" s="4">
        <f>B48*(1+C49)</f>
        <v>96</v>
      </c>
      <c r="C49" s="1">
        <f>-0.2</f>
        <v>-0.2</v>
      </c>
      <c r="F49" s="4">
        <f>EXP(G49)*F48</f>
        <v>100</v>
      </c>
      <c r="G49" s="1">
        <f>-0.2</f>
        <v>-0.2</v>
      </c>
      <c r="H49" s="5">
        <f>EXP(G49)-1</f>
        <v>-0.18126924692201818</v>
      </c>
    </row>
    <row r="71" spans="1:13" x14ac:dyDescent="0.35">
      <c r="A71" t="s">
        <v>9</v>
      </c>
      <c r="G71" t="s">
        <v>8</v>
      </c>
      <c r="K71" t="s">
        <v>10</v>
      </c>
    </row>
    <row r="72" spans="1:13" x14ac:dyDescent="0.35">
      <c r="B72" t="s">
        <v>0</v>
      </c>
      <c r="G72" t="s">
        <v>0</v>
      </c>
      <c r="L72" t="s">
        <v>2</v>
      </c>
    </row>
    <row r="73" spans="1:13" x14ac:dyDescent="0.35">
      <c r="A73" t="s">
        <v>1</v>
      </c>
      <c r="B73">
        <v>1</v>
      </c>
      <c r="C73">
        <v>2</v>
      </c>
      <c r="D73">
        <v>3</v>
      </c>
      <c r="F73" t="s">
        <v>1</v>
      </c>
      <c r="G73">
        <v>1</v>
      </c>
      <c r="H73">
        <v>2</v>
      </c>
      <c r="I73">
        <v>3</v>
      </c>
      <c r="K73" t="s">
        <v>3</v>
      </c>
      <c r="L73">
        <v>1</v>
      </c>
      <c r="M73">
        <v>2</v>
      </c>
    </row>
    <row r="74" spans="1:13" x14ac:dyDescent="0.35">
      <c r="A74">
        <v>1</v>
      </c>
      <c r="B74" s="1">
        <v>-2.2136009647510946</v>
      </c>
      <c r="C74" s="1">
        <v>0.20565380509651732</v>
      </c>
      <c r="D74" s="1">
        <v>0.53656094678444788</v>
      </c>
      <c r="F74">
        <v>1</v>
      </c>
      <c r="G74">
        <f>B74/100</f>
        <v>-2.2136009647510946E-2</v>
      </c>
      <c r="H74">
        <f t="shared" ref="H74:I83" si="8">C74/100</f>
        <v>2.0565380509651732E-3</v>
      </c>
      <c r="I74">
        <f t="shared" si="8"/>
        <v>5.3656094678444788E-3</v>
      </c>
      <c r="K74">
        <v>1</v>
      </c>
      <c r="L74">
        <f>EXP(SUM(G74:G78))-1</f>
        <v>-9.5158054441614182E-3</v>
      </c>
      <c r="M74">
        <f>EXP(SUM(G79:G83))-1</f>
        <v>1.6372868571884025E-2</v>
      </c>
    </row>
    <row r="75" spans="1:13" x14ac:dyDescent="0.35">
      <c r="A75">
        <v>2</v>
      </c>
      <c r="B75" s="1">
        <v>-0.25356825972266961</v>
      </c>
      <c r="C75" s="1">
        <v>2.2467065718956292</v>
      </c>
      <c r="D75" s="1">
        <v>-1.2835880625061691</v>
      </c>
      <c r="F75">
        <v>2</v>
      </c>
      <c r="G75">
        <f t="shared" ref="G75:G83" si="9">B75/100</f>
        <v>-2.5356825972266961E-3</v>
      </c>
      <c r="H75">
        <f t="shared" si="8"/>
        <v>2.2467065718956292E-2</v>
      </c>
      <c r="I75">
        <f t="shared" si="8"/>
        <v>-1.2835880625061691E-2</v>
      </c>
      <c r="K75">
        <v>2</v>
      </c>
      <c r="L75">
        <f>EXP(SUM(H74:H78))-1</f>
        <v>4.4580933864855066E-2</v>
      </c>
      <c r="M75">
        <f>EXP(SUM(H79:H83))-1</f>
        <v>1.2020753247026228E-2</v>
      </c>
    </row>
    <row r="76" spans="1:13" x14ac:dyDescent="0.35">
      <c r="A76">
        <v>3</v>
      </c>
      <c r="B76" s="1">
        <v>1.5415935195051134</v>
      </c>
      <c r="C76" s="1">
        <v>2.7802161639556289</v>
      </c>
      <c r="D76" s="1">
        <v>-0.53056282922625542</v>
      </c>
      <c r="F76">
        <v>3</v>
      </c>
      <c r="G76">
        <f t="shared" si="9"/>
        <v>1.5415935195051134E-2</v>
      </c>
      <c r="H76">
        <f t="shared" si="8"/>
        <v>2.7802161639556289E-2</v>
      </c>
      <c r="I76">
        <f t="shared" si="8"/>
        <v>-5.3056282922625542E-3</v>
      </c>
      <c r="K76">
        <v>3</v>
      </c>
      <c r="L76">
        <f>EXP(SUM(I74:I78))-1</f>
        <v>-1.792962208121418E-2</v>
      </c>
      <c r="M76">
        <f>EXP(SUM(I79:I83))-1</f>
        <v>1.7416133863624728E-2</v>
      </c>
    </row>
    <row r="77" spans="1:13" x14ac:dyDescent="0.35">
      <c r="A77">
        <v>4</v>
      </c>
      <c r="B77" s="1">
        <v>1.0645999282132834</v>
      </c>
      <c r="C77" s="1">
        <v>0.31458739613299258</v>
      </c>
      <c r="D77" s="1">
        <v>-1.997432264033705</v>
      </c>
      <c r="F77">
        <v>4</v>
      </c>
      <c r="G77">
        <f t="shared" si="9"/>
        <v>1.0645999282132834E-2</v>
      </c>
      <c r="H77">
        <f t="shared" si="8"/>
        <v>3.1458739613299258E-3</v>
      </c>
      <c r="I77">
        <f t="shared" si="8"/>
        <v>-1.997432264033705E-2</v>
      </c>
    </row>
    <row r="78" spans="1:13" x14ac:dyDescent="0.35">
      <c r="A78">
        <v>5</v>
      </c>
      <c r="B78" s="1">
        <v>-1.0951612239296082</v>
      </c>
      <c r="C78" s="1">
        <v>-1.1855854609166272</v>
      </c>
      <c r="D78" s="1">
        <v>1.4657916835858487</v>
      </c>
      <c r="F78">
        <v>5</v>
      </c>
      <c r="G78">
        <f t="shared" si="9"/>
        <v>-1.0951612239296082E-2</v>
      </c>
      <c r="H78">
        <f t="shared" si="8"/>
        <v>-1.1855854609166272E-2</v>
      </c>
      <c r="I78">
        <f t="shared" si="8"/>
        <v>1.4657916835858487E-2</v>
      </c>
    </row>
    <row r="79" spans="1:13" x14ac:dyDescent="0.35">
      <c r="A79">
        <v>6</v>
      </c>
      <c r="B79" s="1">
        <v>0.16929334378801286</v>
      </c>
      <c r="C79" s="1">
        <v>1.5438536138390191</v>
      </c>
      <c r="D79" s="1">
        <v>1.8020637071458623</v>
      </c>
      <c r="F79">
        <v>6</v>
      </c>
      <c r="G79">
        <f t="shared" si="9"/>
        <v>1.6929334378801286E-3</v>
      </c>
      <c r="H79">
        <f t="shared" si="8"/>
        <v>1.5438536138390191E-2</v>
      </c>
      <c r="I79">
        <f t="shared" si="8"/>
        <v>1.8020637071458623E-2</v>
      </c>
    </row>
    <row r="80" spans="1:13" x14ac:dyDescent="0.35">
      <c r="A80">
        <v>7</v>
      </c>
      <c r="B80" s="1">
        <v>1.7913043848238885</v>
      </c>
      <c r="C80" s="1">
        <v>0.67975634010508657</v>
      </c>
      <c r="D80" s="1">
        <v>-2.4826931621646509E-2</v>
      </c>
      <c r="F80">
        <v>7</v>
      </c>
      <c r="G80">
        <f t="shared" si="9"/>
        <v>1.7913043848238885E-2</v>
      </c>
      <c r="H80">
        <f t="shared" si="8"/>
        <v>6.7975634010508657E-3</v>
      </c>
      <c r="I80">
        <f t="shared" si="8"/>
        <v>-2.4826931621646509E-4</v>
      </c>
    </row>
    <row r="81" spans="1:9" x14ac:dyDescent="0.35">
      <c r="A81">
        <v>8</v>
      </c>
      <c r="B81" s="1">
        <v>-1.3823137123836204</v>
      </c>
      <c r="C81" s="1">
        <v>-2.0245897758286446</v>
      </c>
      <c r="D81" s="1">
        <v>-1.1698216439981479</v>
      </c>
      <c r="F81">
        <v>8</v>
      </c>
      <c r="G81">
        <f t="shared" si="9"/>
        <v>-1.3823137123836204E-2</v>
      </c>
      <c r="H81">
        <f t="shared" si="8"/>
        <v>-2.0245897758286446E-2</v>
      </c>
      <c r="I81">
        <f t="shared" si="8"/>
        <v>-1.1698216439981479E-2</v>
      </c>
    </row>
    <row r="82" spans="1:9" x14ac:dyDescent="0.35">
      <c r="A82">
        <v>9</v>
      </c>
      <c r="B82" s="1">
        <v>-0.31097215469344519</v>
      </c>
      <c r="C82" s="1">
        <v>0.12898908607894555</v>
      </c>
      <c r="D82" s="1">
        <v>1.1099109542556107</v>
      </c>
      <c r="F82">
        <v>9</v>
      </c>
      <c r="G82">
        <f t="shared" si="9"/>
        <v>-3.1097215469344519E-3</v>
      </c>
      <c r="H82">
        <f t="shared" si="8"/>
        <v>1.2898908607894555E-3</v>
      </c>
      <c r="I82">
        <f t="shared" si="8"/>
        <v>1.1099109542556107E-2</v>
      </c>
    </row>
    <row r="83" spans="1:9" x14ac:dyDescent="0.35">
      <c r="A83">
        <v>10</v>
      </c>
      <c r="B83" s="1">
        <v>1.3567159840022214</v>
      </c>
      <c r="C83" s="1">
        <v>0.86689851741539314</v>
      </c>
      <c r="D83" s="1">
        <v>9.2950358521193266E-3</v>
      </c>
      <c r="F83">
        <v>10</v>
      </c>
      <c r="G83">
        <f t="shared" si="9"/>
        <v>1.3567159840022214E-2</v>
      </c>
      <c r="H83">
        <f t="shared" si="8"/>
        <v>8.6689851741539314E-3</v>
      </c>
      <c r="I83">
        <f t="shared" si="8"/>
        <v>9.2950358521193266E-5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>Duke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Aguilar</dc:creator>
  <cp:lastModifiedBy>Mike Aguilar</cp:lastModifiedBy>
  <dcterms:created xsi:type="dcterms:W3CDTF">2026-06-13T19:40:25Z</dcterms:created>
  <dcterms:modified xsi:type="dcterms:W3CDTF">2026-08-21T15:59:00Z</dcterms:modified>
</cp:coreProperties>
</file>